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表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2" sheetId="3" state="visible" r:id="rId3"/>
  </sheets>
  <definedNames>
    <definedName name="_xlnm._FilterDatabase" localSheetId="0" hidden="1">'目标表'!$A$2:$W$63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6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F4C7A1"/>
      </patternFill>
    </fill>
    <fill>
      <patternFill patternType="solid">
        <fgColor rgb="00D9E6EF"/>
      </patternFill>
    </fill>
    <fill>
      <patternFill patternType="solid">
        <fgColor rgb="00E7E6E6"/>
      </patternFill>
    </fill>
    <fill>
      <patternFill patternType="solid">
        <fgColor rgb="00D7E4ED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6" customWidth="1" min="4" max="4"/>
    <col width="24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15" customWidth="1" min="12" max="12"/>
    <col width="14" customWidth="1" min="13" max="13"/>
    <col width="16" customWidth="1" min="14" max="14"/>
    <col width="15" customWidth="1" min="15" max="15"/>
    <col width="14" customWidth="1" min="16" max="16"/>
    <col width="18" customWidth="1" min="17" max="17"/>
    <col width="16" customWidth="1" min="18" max="18"/>
    <col width="14" customWidth="1" min="19" max="19"/>
    <col width="18" customWidth="1" min="20" max="20"/>
    <col width="14" customWidth="1" min="21" max="21"/>
    <col width="20" customWidth="1" min="22" max="22"/>
    <col width="22" customWidth="1" min="23" max="23"/>
  </cols>
  <sheetData>
    <row r="1" ht="24" customHeight="1">
      <c r="A1" s="1" t="inlineStr">
        <is>
          <t>Pack</t>
        </is>
      </c>
      <c r="B1" s="1" t="inlineStr">
        <is>
          <t>Season</t>
        </is>
      </c>
      <c r="C1" s="1" t="inlineStr">
        <is>
          <t>Working Number</t>
        </is>
      </c>
      <c r="D1" s="1" t="inlineStr">
        <is>
          <t>Article Number</t>
        </is>
      </c>
      <c r="E1" s="1" t="inlineStr">
        <is>
          <t>Description</t>
        </is>
      </c>
      <c r="F1" s="1" t="inlineStr">
        <is>
          <t>PO Number</t>
        </is>
      </c>
      <c r="G1" s="1" t="inlineStr">
        <is>
          <t>Market PO Number</t>
        </is>
      </c>
      <c r="H1" s="1" t="inlineStr">
        <is>
          <t>Gps Customer Number</t>
        </is>
      </c>
      <c r="I1" s="1" t="inlineStr">
        <is>
          <t>Customer Warehouse</t>
        </is>
      </c>
      <c r="J1" s="1" t="inlineStr">
        <is>
          <t>Bulk Handover Date</t>
        </is>
      </c>
      <c r="K1" s="1" t="inlineStr">
        <is>
          <t>Ordered Quantity</t>
        </is>
      </c>
      <c r="L1" s="1" t="inlineStr">
        <is>
          <t>Factory Price</t>
        </is>
      </c>
      <c r="M1" s="1" t="inlineStr"/>
      <c r="N1" s="1" t="inlineStr"/>
      <c r="O1" s="1" t="inlineStr">
        <is>
          <t>TMS Price</t>
        </is>
      </c>
      <c r="P1" s="1" t="inlineStr"/>
      <c r="Q1" s="1" t="inlineStr"/>
      <c r="R1" s="1" t="inlineStr"/>
      <c r="S1" s="1" t="inlineStr">
        <is>
          <t>Factory</t>
        </is>
      </c>
      <c r="T1" s="1" t="inlineStr"/>
      <c r="U1" s="1" t="inlineStr">
        <is>
          <t>Remark</t>
        </is>
      </c>
      <c r="V1" s="1" t="inlineStr">
        <is>
          <t>TMS Merchandiser</t>
        </is>
      </c>
      <c r="W1" s="1" t="inlineStr">
        <is>
          <t>Factory Merchandiser</t>
        </is>
      </c>
    </row>
    <row r="2" ht="24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Price Per Unit</t>
        </is>
      </c>
      <c r="M2" s="2" t="inlineStr">
        <is>
          <t>PO Tax</t>
        </is>
      </c>
      <c r="N2" s="2" t="inlineStr">
        <is>
          <t xml:space="preserve"> PO Total Price</t>
        </is>
      </c>
      <c r="O2" s="2" t="inlineStr">
        <is>
          <t>Price Per Unit</t>
        </is>
      </c>
      <c r="P2" s="2" t="inlineStr">
        <is>
          <t>PO Tax</t>
        </is>
      </c>
      <c r="Q2" s="2" t="inlineStr">
        <is>
          <t>Total Adjustments</t>
        </is>
      </c>
      <c r="R2" s="2" t="inlineStr">
        <is>
          <t xml:space="preserve"> PO Total Price</t>
        </is>
      </c>
      <c r="S2" s="2" t="inlineStr">
        <is>
          <t>Code</t>
        </is>
      </c>
      <c r="T2" s="2" t="inlineStr">
        <is>
          <t>Name</t>
        </is>
      </c>
      <c r="U2" s="2" t="inlineStr"/>
      <c r="V2" s="2" t="inlineStr"/>
      <c r="W2" s="2" t="inlineStr"/>
    </row>
    <row r="3" ht="20" customHeight="1">
      <c r="A3" s="3" t="inlineStr">
        <is>
          <t>Adilenium 5.0</t>
        </is>
      </c>
      <c r="B3" s="3" t="inlineStr">
        <is>
          <t>SS26</t>
        </is>
      </c>
      <c r="C3" s="4" t="inlineStr">
        <is>
          <t>RC2607OW001</t>
        </is>
      </c>
      <c r="D3" s="4" t="inlineStr">
        <is>
          <t>KY5053</t>
        </is>
      </c>
      <c r="E3" s="3" t="inlineStr">
        <is>
          <t>女式梭织长裤</t>
        </is>
      </c>
      <c r="F3" s="4" t="inlineStr">
        <is>
          <t>0902830619</t>
        </is>
      </c>
      <c r="G3" s="4" t="inlineStr">
        <is>
          <t>0307654395</t>
        </is>
      </c>
      <c r="H3" s="4" t="inlineStr">
        <is>
          <t>825066</t>
        </is>
      </c>
      <c r="I3" s="4" t="inlineStr">
        <is>
          <t>苏州仓</t>
        </is>
      </c>
      <c r="J3" s="14" t="n">
        <v>46213</v>
      </c>
      <c r="K3" s="6" t="n">
        <v>3833</v>
      </c>
      <c r="L3" s="7" t="n">
        <v>130.35</v>
      </c>
      <c r="M3" s="7">
        <f>ROUND(0.13*L3*K3,2)</f>
        <v/>
      </c>
      <c r="N3" s="7">
        <f>ROUND(L3*K3+M3,2)</f>
        <v/>
      </c>
      <c r="O3" s="8" t="n">
        <v>143.53</v>
      </c>
      <c r="P3" s="7">
        <f>ROUND(0.13*(K3*O3+Q3),2)</f>
        <v/>
      </c>
      <c r="Q3" s="8" t="n">
        <v>2902.5</v>
      </c>
      <c r="R3" s="7">
        <f>ROUND(O3*K3+P3+Q3,2)</f>
        <v/>
      </c>
      <c r="S3" s="9" t="inlineStr">
        <is>
          <t>1L8006</t>
        </is>
      </c>
      <c r="T3" s="9" t="inlineStr">
        <is>
          <t>丹东新龙太</t>
        </is>
      </c>
      <c r="U3" s="10" t="inlineStr"/>
      <c r="V3" s="10" t="inlineStr">
        <is>
          <t>Bacy</t>
        </is>
      </c>
      <c r="W3" s="10" t="inlineStr">
        <is>
          <t>Jasmine</t>
        </is>
      </c>
    </row>
    <row r="4" ht="20" customHeight="1">
      <c r="A4" s="3" t="inlineStr">
        <is>
          <t>Polka Dot Pack</t>
        </is>
      </c>
      <c r="B4" s="3" t="inlineStr">
        <is>
          <t>FW26</t>
        </is>
      </c>
      <c r="C4" s="4" t="inlineStr">
        <is>
          <t>RC2606OW013</t>
        </is>
      </c>
      <c r="D4" s="4" t="inlineStr">
        <is>
          <t>KV1193</t>
        </is>
      </c>
      <c r="E4" s="3" t="inlineStr">
        <is>
          <t>女式针织T恤</t>
        </is>
      </c>
      <c r="F4" s="4" t="inlineStr">
        <is>
          <t>0902830610</t>
        </is>
      </c>
      <c r="G4" s="4" t="inlineStr">
        <is>
          <t>0307654351</t>
        </is>
      </c>
      <c r="H4" s="4" t="inlineStr">
        <is>
          <t>825057</t>
        </is>
      </c>
      <c r="I4" s="4" t="inlineStr">
        <is>
          <t>天津仓</t>
        </is>
      </c>
      <c r="J4" s="14" t="n">
        <v>46218</v>
      </c>
      <c r="K4" s="6" t="n">
        <v>236</v>
      </c>
      <c r="L4" s="7" t="n">
        <v>52.12</v>
      </c>
      <c r="M4" s="7">
        <f>ROUND(0.13*L4*K4,2)</f>
        <v/>
      </c>
      <c r="N4" s="7">
        <f>ROUND(L4*K4+M4,2)</f>
        <v/>
      </c>
      <c r="O4" s="8" t="n">
        <v>59.83</v>
      </c>
      <c r="P4" s="7">
        <f>ROUND(0.13*(K4*O4+Q4),2)</f>
        <v/>
      </c>
      <c r="Q4" s="8" t="n">
        <v>111.43</v>
      </c>
      <c r="R4" s="7">
        <f>ROUND(O4*K4+P4+Q4,2)</f>
        <v/>
      </c>
      <c r="S4" s="9" t="inlineStr">
        <is>
          <t>1L8006</t>
        </is>
      </c>
      <c r="T4" s="9" t="inlineStr">
        <is>
          <t>丹东新龙太</t>
        </is>
      </c>
      <c r="U4" s="10" t="inlineStr"/>
      <c r="V4" s="10" t="inlineStr">
        <is>
          <t>Rosa</t>
        </is>
      </c>
      <c r="W4" s="10" t="inlineStr">
        <is>
          <t>Yinhao</t>
        </is>
      </c>
    </row>
    <row r="5" ht="20" customHeight="1">
      <c r="A5" s="3" t="inlineStr">
        <is>
          <t>Polka Dot Pack</t>
        </is>
      </c>
      <c r="B5" s="3" t="inlineStr">
        <is>
          <t>FW26</t>
        </is>
      </c>
      <c r="C5" s="4" t="inlineStr">
        <is>
          <t>RC2606OW013</t>
        </is>
      </c>
      <c r="D5" s="4" t="inlineStr">
        <is>
          <t>KV1193</t>
        </is>
      </c>
      <c r="E5" s="3" t="inlineStr">
        <is>
          <t>女式针织T恤</t>
        </is>
      </c>
      <c r="F5" s="4" t="inlineStr">
        <is>
          <t>0902830611</t>
        </is>
      </c>
      <c r="G5" s="4" t="inlineStr">
        <is>
          <t>0307654357</t>
        </is>
      </c>
      <c r="H5" s="4" t="inlineStr">
        <is>
          <t>825057</t>
        </is>
      </c>
      <c r="I5" s="4" t="inlineStr">
        <is>
          <t>天津仓</t>
        </is>
      </c>
      <c r="J5" s="14" t="n">
        <v>46218</v>
      </c>
      <c r="K5" s="6" t="n">
        <v>1124</v>
      </c>
      <c r="L5" s="7" t="n">
        <v>52.12</v>
      </c>
      <c r="M5" s="7">
        <f>ROUND(0.13*L5*K5,2)</f>
        <v/>
      </c>
      <c r="N5" s="7">
        <f>ROUND(L5*K5+M5,2)</f>
        <v/>
      </c>
      <c r="O5" s="8" t="n">
        <v>59.83</v>
      </c>
      <c r="P5" s="7">
        <f>ROUND(0.13*(K5*O5+Q5),2)</f>
        <v/>
      </c>
      <c r="Q5" s="8" t="n">
        <v>530.7</v>
      </c>
      <c r="R5" s="7">
        <f>ROUND(O5*K5+P5+Q5,2)</f>
        <v/>
      </c>
      <c r="S5" s="9" t="inlineStr">
        <is>
          <t>1L8006</t>
        </is>
      </c>
      <c r="T5" s="9" t="inlineStr">
        <is>
          <t>丹东新龙太</t>
        </is>
      </c>
      <c r="U5" s="10" t="inlineStr"/>
      <c r="V5" s="10" t="inlineStr">
        <is>
          <t>Rosa</t>
        </is>
      </c>
      <c r="W5" s="10" t="inlineStr">
        <is>
          <t>Yinhao</t>
        </is>
      </c>
    </row>
    <row r="6" ht="20" customHeight="1">
      <c r="A6" s="3" t="inlineStr">
        <is>
          <t>Polka Dot Pack</t>
        </is>
      </c>
      <c r="B6" s="3" t="inlineStr">
        <is>
          <t>FW26</t>
        </is>
      </c>
      <c r="C6" s="4" t="inlineStr">
        <is>
          <t>RC2606OW013</t>
        </is>
      </c>
      <c r="D6" s="4" t="inlineStr">
        <is>
          <t>KV1193</t>
        </is>
      </c>
      <c r="E6" s="3" t="inlineStr">
        <is>
          <t>女式针织T恤</t>
        </is>
      </c>
      <c r="F6" s="4" t="inlineStr">
        <is>
          <t>0902830612</t>
        </is>
      </c>
      <c r="G6" s="4" t="inlineStr">
        <is>
          <t>0307654365</t>
        </is>
      </c>
      <c r="H6" s="4" t="inlineStr">
        <is>
          <t>825056</t>
        </is>
      </c>
      <c r="I6" s="4" t="inlineStr">
        <is>
          <t>苏州仓</t>
        </is>
      </c>
      <c r="J6" s="14" t="n">
        <v>46218</v>
      </c>
      <c r="K6" s="6" t="n">
        <v>764</v>
      </c>
      <c r="L6" s="7" t="n">
        <v>52.12</v>
      </c>
      <c r="M6" s="7">
        <f>ROUND(0.13*L6*K6,2)</f>
        <v/>
      </c>
      <c r="N6" s="7">
        <f>ROUND(L6*K6+M6,2)</f>
        <v/>
      </c>
      <c r="O6" s="8" t="n">
        <v>59.83</v>
      </c>
      <c r="P6" s="7">
        <f>ROUND(0.13*(K6*O6+Q6),2)</f>
        <v/>
      </c>
      <c r="Q6" s="8" t="n">
        <v>360.73</v>
      </c>
      <c r="R6" s="7">
        <f>ROUND(O6*K6+P6+Q6,2)</f>
        <v/>
      </c>
      <c r="S6" s="9" t="inlineStr">
        <is>
          <t>1L8006</t>
        </is>
      </c>
      <c r="T6" s="9" t="inlineStr">
        <is>
          <t>丹东新龙太</t>
        </is>
      </c>
      <c r="U6" s="10" t="inlineStr"/>
      <c r="V6" s="10" t="inlineStr">
        <is>
          <t>Rosa</t>
        </is>
      </c>
      <c r="W6" s="10" t="inlineStr">
        <is>
          <t>Yinhao</t>
        </is>
      </c>
    </row>
    <row r="7" ht="20" customHeight="1">
      <c r="A7" s="3" t="inlineStr">
        <is>
          <t>Polka Dot Pack</t>
        </is>
      </c>
      <c r="B7" s="3" t="inlineStr">
        <is>
          <t>FW26</t>
        </is>
      </c>
      <c r="C7" s="4" t="inlineStr">
        <is>
          <t>RC2606OW013</t>
        </is>
      </c>
      <c r="D7" s="4" t="inlineStr">
        <is>
          <t>KV1193</t>
        </is>
      </c>
      <c r="E7" s="3" t="inlineStr">
        <is>
          <t>女式针织T恤</t>
        </is>
      </c>
      <c r="F7" s="4" t="inlineStr">
        <is>
          <t>0902830613</t>
        </is>
      </c>
      <c r="G7" s="4" t="inlineStr">
        <is>
          <t>0307654372</t>
        </is>
      </c>
      <c r="H7" s="4" t="inlineStr">
        <is>
          <t>825066</t>
        </is>
      </c>
      <c r="I7" s="4" t="inlineStr">
        <is>
          <t>苏州仓</t>
        </is>
      </c>
      <c r="J7" s="14" t="n">
        <v>46218</v>
      </c>
      <c r="K7" s="6" t="n">
        <v>1126</v>
      </c>
      <c r="L7" s="7" t="n">
        <v>52.12</v>
      </c>
      <c r="M7" s="7">
        <f>ROUND(0.13*L7*K7,2)</f>
        <v/>
      </c>
      <c r="N7" s="7">
        <f>ROUND(L7*K7+M7,2)</f>
        <v/>
      </c>
      <c r="O7" s="8" t="n">
        <v>59.83</v>
      </c>
      <c r="P7" s="7">
        <f>ROUND(0.13*(K7*O7+Q7),2)</f>
        <v/>
      </c>
      <c r="Q7" s="8" t="n">
        <v>531.64</v>
      </c>
      <c r="R7" s="7">
        <f>ROUND(O7*K7+P7+Q7,2)</f>
        <v/>
      </c>
      <c r="S7" s="9" t="inlineStr">
        <is>
          <t>1L8006</t>
        </is>
      </c>
      <c r="T7" s="9" t="inlineStr">
        <is>
          <t>丹东新龙太</t>
        </is>
      </c>
      <c r="U7" s="10" t="inlineStr"/>
      <c r="V7" s="10" t="inlineStr">
        <is>
          <t>Rosa</t>
        </is>
      </c>
      <c r="W7" s="10" t="inlineStr">
        <is>
          <t>Yinhao</t>
        </is>
      </c>
    </row>
    <row r="8" ht="20" customHeight="1">
      <c r="A8" s="3" t="inlineStr">
        <is>
          <t>Polka Dot Pack</t>
        </is>
      </c>
      <c r="B8" s="3" t="inlineStr">
        <is>
          <t>FW26</t>
        </is>
      </c>
      <c r="C8" s="4" t="inlineStr">
        <is>
          <t>RC2606OW013</t>
        </is>
      </c>
      <c r="D8" s="4" t="inlineStr">
        <is>
          <t>KV1193</t>
        </is>
      </c>
      <c r="E8" s="3" t="inlineStr">
        <is>
          <t>女式针织T恤</t>
        </is>
      </c>
      <c r="F8" s="4" t="inlineStr">
        <is>
          <t>0902830614</t>
        </is>
      </c>
      <c r="G8" s="4" t="inlineStr">
        <is>
          <t>0307654386</t>
        </is>
      </c>
      <c r="H8" s="4" t="inlineStr">
        <is>
          <t>825066</t>
        </is>
      </c>
      <c r="I8" s="4" t="inlineStr">
        <is>
          <t>苏州仓</t>
        </is>
      </c>
      <c r="J8" s="14" t="n">
        <v>46218</v>
      </c>
      <c r="K8" s="6" t="n">
        <v>2915</v>
      </c>
      <c r="L8" s="7" t="n">
        <v>52.12</v>
      </c>
      <c r="M8" s="7">
        <f>ROUND(0.13*L8*K8,2)</f>
        <v/>
      </c>
      <c r="N8" s="7">
        <f>ROUND(L8*K8+M8,2)</f>
        <v/>
      </c>
      <c r="O8" s="8" t="n">
        <v>59.83</v>
      </c>
      <c r="P8" s="7">
        <f>ROUND(0.13*(K8*O8+Q8),2)</f>
        <v/>
      </c>
      <c r="Q8" s="8" t="n">
        <v>1376.34</v>
      </c>
      <c r="R8" s="7">
        <f>ROUND(O8*K8+P8+Q8,2)</f>
        <v/>
      </c>
      <c r="S8" s="9" t="inlineStr">
        <is>
          <t>1L8006</t>
        </is>
      </c>
      <c r="T8" s="9" t="inlineStr">
        <is>
          <t>丹东新龙太</t>
        </is>
      </c>
      <c r="U8" s="10" t="inlineStr"/>
      <c r="V8" s="10" t="inlineStr">
        <is>
          <t>Rosa</t>
        </is>
      </c>
      <c r="W8" s="10" t="inlineStr">
        <is>
          <t>Yinhao</t>
        </is>
      </c>
    </row>
    <row r="9" ht="20" customHeight="1">
      <c r="A9" s="3" t="inlineStr">
        <is>
          <t>Adilenium 5.0</t>
        </is>
      </c>
      <c r="B9" s="3" t="inlineStr">
        <is>
          <t>SS26</t>
        </is>
      </c>
      <c r="C9" s="4" t="inlineStr">
        <is>
          <t>RC2607OW000</t>
        </is>
      </c>
      <c r="D9" s="4" t="inlineStr">
        <is>
          <t>KY5046</t>
        </is>
      </c>
      <c r="E9" s="3" t="inlineStr">
        <is>
          <t>女式梭织夹克</t>
        </is>
      </c>
      <c r="F9" s="4" t="inlineStr">
        <is>
          <t>0902830617</t>
        </is>
      </c>
      <c r="G9" s="4" t="inlineStr">
        <is>
          <t>0307654393</t>
        </is>
      </c>
      <c r="H9" s="4" t="inlineStr">
        <is>
          <t>825066</t>
        </is>
      </c>
      <c r="I9" s="4" t="inlineStr">
        <is>
          <t>苏州仓</t>
        </is>
      </c>
      <c r="J9" s="14" t="n">
        <v>46209</v>
      </c>
      <c r="K9" s="6" t="n">
        <v>4799</v>
      </c>
      <c r="L9" s="7" t="n">
        <v>128.21</v>
      </c>
      <c r="M9" s="7">
        <f>ROUND(0.13*L9*K9,2)</f>
        <v/>
      </c>
      <c r="N9" s="7">
        <f>ROUND(L9*K9+M9,2)</f>
        <v/>
      </c>
      <c r="O9" s="8" t="n">
        <v>141.75</v>
      </c>
      <c r="P9" s="7">
        <f>ROUND(0.13*(K9*O9+Q9),2)</f>
        <v/>
      </c>
      <c r="Q9" s="8" t="n">
        <v>2284.59</v>
      </c>
      <c r="R9" s="7">
        <f>ROUND(O9*K9+P9+Q9,2)</f>
        <v/>
      </c>
      <c r="S9" s="9" t="inlineStr">
        <is>
          <t>1L8006</t>
        </is>
      </c>
      <c r="T9" s="9" t="inlineStr">
        <is>
          <t>丹东新龙太</t>
        </is>
      </c>
      <c r="U9" s="10" t="inlineStr"/>
      <c r="V9" s="10" t="inlineStr">
        <is>
          <t>Bacy</t>
        </is>
      </c>
      <c r="W9" s="10" t="inlineStr">
        <is>
          <t>Jasmine</t>
        </is>
      </c>
    </row>
    <row r="10" ht="20" customHeight="1">
      <c r="A10" s="3" t="inlineStr">
        <is>
          <t>Adilenium 5.0</t>
        </is>
      </c>
      <c r="B10" s="3" t="inlineStr">
        <is>
          <t>SS26</t>
        </is>
      </c>
      <c r="C10" s="4" t="inlineStr">
        <is>
          <t>RC2607OW001</t>
        </is>
      </c>
      <c r="D10" s="4" t="inlineStr">
        <is>
          <t>KY5053</t>
        </is>
      </c>
      <c r="E10" s="3" t="inlineStr">
        <is>
          <t>女式梭织长裤</t>
        </is>
      </c>
      <c r="F10" s="4" t="inlineStr">
        <is>
          <t>0902805631</t>
        </is>
      </c>
      <c r="G10" s="4" t="inlineStr">
        <is>
          <t>0307535500</t>
        </is>
      </c>
      <c r="H10" s="4" t="inlineStr">
        <is>
          <t>825066</t>
        </is>
      </c>
      <c r="I10" s="4" t="inlineStr">
        <is>
          <t>苏州仓</t>
        </is>
      </c>
      <c r="J10" s="14" t="n">
        <v>46209</v>
      </c>
      <c r="K10" s="6" t="n">
        <v>4004</v>
      </c>
      <c r="L10" s="7" t="n">
        <v>130.35</v>
      </c>
      <c r="M10" s="7">
        <f>ROUND(0.13*L10*K10,2)</f>
        <v/>
      </c>
      <c r="N10" s="7">
        <f>ROUND(L10*K10+M10,2)</f>
        <v/>
      </c>
      <c r="O10" s="8" t="n">
        <v>143.53</v>
      </c>
      <c r="P10" s="7">
        <f>ROUND(0.13*(K10*O10+Q10),2)</f>
        <v/>
      </c>
      <c r="Q10" s="8" t="n">
        <v>1906.12</v>
      </c>
      <c r="R10" s="7">
        <f>ROUND(O10*K10+P10+Q10,2)</f>
        <v/>
      </c>
      <c r="S10" s="9" t="inlineStr">
        <is>
          <t>1L8006</t>
        </is>
      </c>
      <c r="T10" s="9" t="inlineStr">
        <is>
          <t>丹东新龙太</t>
        </is>
      </c>
      <c r="U10" s="10" t="inlineStr"/>
      <c r="V10" s="10" t="inlineStr">
        <is>
          <t>Bacy</t>
        </is>
      </c>
      <c r="W10" s="10" t="inlineStr">
        <is>
          <t>Jasmine</t>
        </is>
      </c>
    </row>
    <row r="11" ht="20" customHeight="1">
      <c r="A11" s="3" t="inlineStr">
        <is>
          <t xml:space="preserve">C4C dual sourcing </t>
        </is>
      </c>
      <c r="B11" s="3" t="inlineStr">
        <is>
          <t>FW26</t>
        </is>
      </c>
      <c r="C11" s="4" t="inlineStr">
        <is>
          <t>F2625M500B</t>
        </is>
      </c>
      <c r="D11" s="4" t="inlineStr">
        <is>
          <t>IB6948</t>
        </is>
      </c>
      <c r="E11" s="3" t="inlineStr">
        <is>
          <t>nan式梭织夹克</t>
        </is>
      </c>
      <c r="F11" s="4" t="inlineStr">
        <is>
          <t>0902613099</t>
        </is>
      </c>
      <c r="G11" s="4" t="inlineStr">
        <is>
          <t>0307233968</t>
        </is>
      </c>
      <c r="H11" s="4" t="inlineStr">
        <is>
          <t>825054</t>
        </is>
      </c>
      <c r="I11" s="4" t="inlineStr">
        <is>
          <t>TTTS 天纺标</t>
        </is>
      </c>
      <c r="J11" s="14" t="n">
        <v>46225</v>
      </c>
      <c r="K11" s="6" t="n">
        <v>2</v>
      </c>
      <c r="L11" s="7" t="n">
        <v>220.91</v>
      </c>
      <c r="M11" s="7">
        <f>ROUND(0.13*L11*K11,2)</f>
        <v/>
      </c>
      <c r="N11" s="7">
        <f>ROUND(L11*K11+M11,2)</f>
        <v/>
      </c>
      <c r="O11" s="8" t="n">
        <v>245.29</v>
      </c>
      <c r="P11" s="7">
        <f>ROUND(0.13*(K11*O11+Q11),2)</f>
        <v/>
      </c>
      <c r="Q11" s="8" t="n">
        <v>0.9399999999999999</v>
      </c>
      <c r="R11" s="7">
        <f>ROUND(O11*K11+P11+Q11,2)</f>
        <v/>
      </c>
      <c r="S11" s="9" t="inlineStr">
        <is>
          <t>1L8012</t>
        </is>
      </c>
      <c r="T11" s="9" t="inlineStr">
        <is>
          <t>大连万代</t>
        </is>
      </c>
      <c r="U11" s="10" t="inlineStr"/>
      <c r="V11" s="10" t="inlineStr">
        <is>
          <t>Gioia</t>
        </is>
      </c>
      <c r="W11" s="10" t="inlineStr">
        <is>
          <t>Judy</t>
        </is>
      </c>
    </row>
    <row r="12" ht="20" customHeight="1">
      <c r="A12" s="3" t="inlineStr">
        <is>
          <t xml:space="preserve">C4C dual sourcing </t>
        </is>
      </c>
      <c r="B12" s="3" t="inlineStr">
        <is>
          <t>FW26</t>
        </is>
      </c>
      <c r="C12" s="4" t="inlineStr">
        <is>
          <t>F2625M500B</t>
        </is>
      </c>
      <c r="D12" s="4" t="inlineStr">
        <is>
          <t>IB6948</t>
        </is>
      </c>
      <c r="E12" s="3" t="inlineStr">
        <is>
          <t>nan式梭织夹克</t>
        </is>
      </c>
      <c r="F12" s="4" t="inlineStr">
        <is>
          <t>0902617666</t>
        </is>
      </c>
      <c r="G12" s="4" t="inlineStr">
        <is>
          <t>0307194231</t>
        </is>
      </c>
      <c r="H12" s="4" t="inlineStr">
        <is>
          <t>825066</t>
        </is>
      </c>
      <c r="I12" s="4" t="inlineStr">
        <is>
          <t>苏州仓</t>
        </is>
      </c>
      <c r="J12" s="14" t="n">
        <v>46234</v>
      </c>
      <c r="K12" s="6" t="n">
        <v>4176</v>
      </c>
      <c r="L12" s="7" t="n">
        <v>220.91</v>
      </c>
      <c r="M12" s="7">
        <f>ROUND(0.13*L12*K12,2)</f>
        <v/>
      </c>
      <c r="N12" s="7">
        <f>ROUND(L12*K12+M12,2)</f>
        <v/>
      </c>
      <c r="O12" s="8" t="n">
        <v>244.81</v>
      </c>
      <c r="P12" s="7">
        <f>ROUND(0.13*(K12*O12+Q12),2)</f>
        <v/>
      </c>
      <c r="Q12" s="8" t="n">
        <v>1988.98</v>
      </c>
      <c r="R12" s="7">
        <f>ROUND(O12*K12+P12+Q12,2)</f>
        <v/>
      </c>
      <c r="S12" s="9" t="inlineStr">
        <is>
          <t>1L8012</t>
        </is>
      </c>
      <c r="T12" s="9" t="inlineStr">
        <is>
          <t>大连万代</t>
        </is>
      </c>
      <c r="U12" s="10" t="inlineStr"/>
      <c r="V12" s="10" t="inlineStr">
        <is>
          <t>Gioia</t>
        </is>
      </c>
      <c r="W12" s="10" t="inlineStr">
        <is>
          <t>Judy</t>
        </is>
      </c>
    </row>
    <row r="13" ht="20" customHeight="1">
      <c r="A13" s="3" t="inlineStr">
        <is>
          <t xml:space="preserve">C4C dual sourcing </t>
        </is>
      </c>
      <c r="B13" s="3" t="inlineStr">
        <is>
          <t>FW26</t>
        </is>
      </c>
      <c r="C13" s="4" t="inlineStr">
        <is>
          <t>F2625M500B</t>
        </is>
      </c>
      <c r="D13" s="4" t="inlineStr">
        <is>
          <t>IB6948</t>
        </is>
      </c>
      <c r="E13" s="3" t="inlineStr">
        <is>
          <t>nan式梭织夹克</t>
        </is>
      </c>
      <c r="F13" s="4" t="inlineStr">
        <is>
          <t>0902617752</t>
        </is>
      </c>
      <c r="G13" s="4" t="inlineStr">
        <is>
          <t>0307194402</t>
        </is>
      </c>
      <c r="H13" s="4" t="inlineStr">
        <is>
          <t>825057</t>
        </is>
      </c>
      <c r="I13" s="4" t="inlineStr">
        <is>
          <t>天津仓</t>
        </is>
      </c>
      <c r="J13" s="14" t="n">
        <v>46234</v>
      </c>
      <c r="K13" s="6" t="n">
        <v>933</v>
      </c>
      <c r="L13" s="7" t="n">
        <v>220.91</v>
      </c>
      <c r="M13" s="7">
        <f>ROUND(0.13*L13*K13,2)</f>
        <v/>
      </c>
      <c r="N13" s="7">
        <f>ROUND(L13*K13+M13,2)</f>
        <v/>
      </c>
      <c r="O13" s="8" t="n">
        <v>244.81</v>
      </c>
      <c r="P13" s="7">
        <f>ROUND(0.13*(K13*O13+Q13),2)</f>
        <v/>
      </c>
      <c r="Q13" s="8" t="n">
        <v>444.38</v>
      </c>
      <c r="R13" s="7">
        <f>ROUND(O13*K13+P13+Q13,2)</f>
        <v/>
      </c>
      <c r="S13" s="9" t="inlineStr">
        <is>
          <t>1L8012</t>
        </is>
      </c>
      <c r="T13" s="9" t="inlineStr">
        <is>
          <t>大连万代</t>
        </is>
      </c>
      <c r="U13" s="10" t="inlineStr"/>
      <c r="V13" s="10" t="inlineStr">
        <is>
          <t>Gioia</t>
        </is>
      </c>
      <c r="W13" s="10" t="inlineStr">
        <is>
          <t>Judy</t>
        </is>
      </c>
    </row>
    <row r="14" ht="20" customHeight="1">
      <c r="A14" s="3" t="inlineStr">
        <is>
          <t xml:space="preserve">C4C dual sourcing </t>
        </is>
      </c>
      <c r="B14" s="3" t="inlineStr">
        <is>
          <t>FW26</t>
        </is>
      </c>
      <c r="C14" s="4" t="inlineStr">
        <is>
          <t>F2625M501</t>
        </is>
      </c>
      <c r="D14" s="4" t="inlineStr">
        <is>
          <t>KQ8853</t>
        </is>
      </c>
      <c r="E14" s="3" t="inlineStr">
        <is>
          <t>nan式梭织长裤</t>
        </is>
      </c>
      <c r="F14" s="4" t="inlineStr">
        <is>
          <t>0902621359</t>
        </is>
      </c>
      <c r="G14" s="4" t="inlineStr">
        <is>
          <t>0307233650</t>
        </is>
      </c>
      <c r="H14" s="4" t="inlineStr">
        <is>
          <t>825054</t>
        </is>
      </c>
      <c r="I14" s="4" t="inlineStr">
        <is>
          <t>TTTS 天纺标</t>
        </is>
      </c>
      <c r="J14" s="14" t="n">
        <v>46225</v>
      </c>
      <c r="K14" s="6" t="n">
        <v>2</v>
      </c>
      <c r="L14" s="7" t="n">
        <v>130.84</v>
      </c>
      <c r="M14" s="7">
        <f>ROUND(0.13*L14*K14,2)</f>
        <v/>
      </c>
      <c r="N14" s="7">
        <f>ROUND(L14*K14+M14,2)</f>
        <v/>
      </c>
      <c r="O14" s="8" t="n">
        <v>145.15</v>
      </c>
      <c r="P14" s="7">
        <f>ROUND(0.13*(K14*O14+Q14),2)</f>
        <v/>
      </c>
      <c r="Q14" s="8" t="n">
        <v>0.9399999999999999</v>
      </c>
      <c r="R14" s="7">
        <f>ROUND(O14*K14+P14+Q14,2)</f>
        <v/>
      </c>
      <c r="S14" s="9" t="inlineStr">
        <is>
          <t>1L8012</t>
        </is>
      </c>
      <c r="T14" s="9" t="inlineStr">
        <is>
          <t>大连万代</t>
        </is>
      </c>
      <c r="U14" s="10" t="inlineStr"/>
      <c r="V14" s="10" t="inlineStr">
        <is>
          <t>Gioia</t>
        </is>
      </c>
      <c r="W14" s="10" t="inlineStr">
        <is>
          <t>Judy</t>
        </is>
      </c>
    </row>
    <row r="15" ht="20" customHeight="1">
      <c r="A15" s="3" t="inlineStr">
        <is>
          <t xml:space="preserve">C4C dual sourcing </t>
        </is>
      </c>
      <c r="B15" s="3" t="inlineStr">
        <is>
          <t>FW26</t>
        </is>
      </c>
      <c r="C15" s="4" t="inlineStr">
        <is>
          <t>F2625M501</t>
        </is>
      </c>
      <c r="D15" s="4" t="inlineStr">
        <is>
          <t>KQ8853</t>
        </is>
      </c>
      <c r="E15" s="3" t="inlineStr">
        <is>
          <t>nan式梭织长裤</t>
        </is>
      </c>
      <c r="F15" s="4" t="inlineStr">
        <is>
          <t>0902621401</t>
        </is>
      </c>
      <c r="G15" s="4" t="inlineStr">
        <is>
          <t>0307204057</t>
        </is>
      </c>
      <c r="H15" s="4" t="inlineStr">
        <is>
          <t>825066</t>
        </is>
      </c>
      <c r="I15" s="4" t="inlineStr">
        <is>
          <t>苏州仓</t>
        </is>
      </c>
      <c r="J15" s="14" t="n">
        <v>46234</v>
      </c>
      <c r="K15" s="6" t="n">
        <v>2208</v>
      </c>
      <c r="L15" s="7" t="n">
        <v>130.84</v>
      </c>
      <c r="M15" s="7">
        <f>ROUND(0.13*L15*K15,2)</f>
        <v/>
      </c>
      <c r="N15" s="7">
        <f>ROUND(L15*K15+M15,2)</f>
        <v/>
      </c>
      <c r="O15" s="8" t="n">
        <v>144.67</v>
      </c>
      <c r="P15" s="7">
        <f>ROUND(0.13*(K15*O15+Q15),2)</f>
        <v/>
      </c>
      <c r="Q15" s="8" t="n">
        <v>1051.65</v>
      </c>
      <c r="R15" s="7">
        <f>ROUND(O15*K15+P15+Q15,2)</f>
        <v/>
      </c>
      <c r="S15" s="9" t="inlineStr">
        <is>
          <t>1L8012</t>
        </is>
      </c>
      <c r="T15" s="9" t="inlineStr">
        <is>
          <t>大连万代</t>
        </is>
      </c>
      <c r="U15" s="10" t="inlineStr"/>
      <c r="V15" s="10" t="inlineStr">
        <is>
          <t>Gioia</t>
        </is>
      </c>
      <c r="W15" s="10" t="inlineStr">
        <is>
          <t>Judy</t>
        </is>
      </c>
    </row>
    <row r="16" ht="20" customHeight="1">
      <c r="A16" s="3" t="inlineStr">
        <is>
          <t xml:space="preserve">C4C dual sourcing </t>
        </is>
      </c>
      <c r="B16" s="3" t="inlineStr">
        <is>
          <t>FW26</t>
        </is>
      </c>
      <c r="C16" s="4" t="inlineStr">
        <is>
          <t>F2625M501</t>
        </is>
      </c>
      <c r="D16" s="4" t="inlineStr">
        <is>
          <t>KQ8853</t>
        </is>
      </c>
      <c r="E16" s="3" t="inlineStr">
        <is>
          <t>nan式梭织长裤</t>
        </is>
      </c>
      <c r="F16" s="4" t="inlineStr">
        <is>
          <t>0902621478</t>
        </is>
      </c>
      <c r="G16" s="4" t="inlineStr">
        <is>
          <t>0307204162</t>
        </is>
      </c>
      <c r="H16" s="4" t="inlineStr">
        <is>
          <t>825057</t>
        </is>
      </c>
      <c r="I16" s="4" t="inlineStr">
        <is>
          <t>天津仓</t>
        </is>
      </c>
      <c r="J16" s="14" t="n">
        <v>46234</v>
      </c>
      <c r="K16" s="6" t="n">
        <v>918</v>
      </c>
      <c r="L16" s="7" t="n">
        <v>130.84</v>
      </c>
      <c r="M16" s="7">
        <f>ROUND(0.13*L16*K16,2)</f>
        <v/>
      </c>
      <c r="N16" s="7">
        <f>ROUND(L16*K16+M16,2)</f>
        <v/>
      </c>
      <c r="O16" s="8" t="n">
        <v>144.67</v>
      </c>
      <c r="P16" s="7">
        <f>ROUND(0.13*(K16*O16+Q16),2)</f>
        <v/>
      </c>
      <c r="Q16" s="8" t="n">
        <v>437.23</v>
      </c>
      <c r="R16" s="7">
        <f>ROUND(O16*K16+P16+Q16,2)</f>
        <v/>
      </c>
      <c r="S16" s="9" t="inlineStr">
        <is>
          <t>1L8012</t>
        </is>
      </c>
      <c r="T16" s="9" t="inlineStr">
        <is>
          <t>大连万代</t>
        </is>
      </c>
      <c r="U16" s="10" t="inlineStr"/>
      <c r="V16" s="10" t="inlineStr">
        <is>
          <t>Gioia</t>
        </is>
      </c>
      <c r="W16" s="10" t="inlineStr">
        <is>
          <t>Judy</t>
        </is>
      </c>
    </row>
    <row r="17" ht="20" customHeight="1">
      <c r="A17" s="3" t="inlineStr">
        <is>
          <t>Polka Dot Pack</t>
        </is>
      </c>
      <c r="B17" s="3" t="inlineStr">
        <is>
          <t>FW26</t>
        </is>
      </c>
      <c r="C17" s="4" t="inlineStr">
        <is>
          <t>RC2606OW000</t>
        </is>
      </c>
      <c r="D17" s="4" t="inlineStr">
        <is>
          <t>KV1165</t>
        </is>
      </c>
      <c r="E17" s="3" t="inlineStr">
        <is>
          <t>女式梭织上衣</t>
        </is>
      </c>
      <c r="F17" s="4" t="inlineStr">
        <is>
          <t>0902830621</t>
        </is>
      </c>
      <c r="G17" s="4" t="inlineStr">
        <is>
          <t>0307654408</t>
        </is>
      </c>
      <c r="H17" s="4" t="inlineStr">
        <is>
          <t>825066</t>
        </is>
      </c>
      <c r="I17" s="4" t="inlineStr">
        <is>
          <t>苏州仓</t>
        </is>
      </c>
      <c r="J17" s="14" t="n">
        <v>46218</v>
      </c>
      <c r="K17" s="6" t="n">
        <v>4939</v>
      </c>
      <c r="L17" s="7" t="n">
        <v>109.21</v>
      </c>
      <c r="M17" s="7">
        <f>ROUND(0.13*L17*K17,2)</f>
        <v/>
      </c>
      <c r="N17" s="7">
        <f>ROUND(L17*K17+M17,2)</f>
        <v/>
      </c>
      <c r="O17" s="8" t="n">
        <v>117.01</v>
      </c>
      <c r="P17" s="7">
        <f>ROUND(0.13*(K17*O17+Q17),2)</f>
        <v/>
      </c>
      <c r="Q17" s="8" t="n">
        <v>2351.23</v>
      </c>
      <c r="R17" s="7">
        <f>ROUND(O17*K17+P17+Q17,2)</f>
        <v/>
      </c>
      <c r="S17" s="9" t="inlineStr">
        <is>
          <t>1L8006</t>
        </is>
      </c>
      <c r="T17" s="9" t="inlineStr">
        <is>
          <t>丹东新龙太</t>
        </is>
      </c>
      <c r="U17" s="10" t="inlineStr"/>
      <c r="V17" s="10" t="inlineStr">
        <is>
          <t>Rosa</t>
        </is>
      </c>
      <c r="W17" s="10" t="inlineStr">
        <is>
          <t>Jasmine</t>
        </is>
      </c>
    </row>
    <row r="18" ht="20" customHeight="1">
      <c r="A18" s="3" t="inlineStr">
        <is>
          <t>Polka Dot Pack</t>
        </is>
      </c>
      <c r="B18" s="3" t="inlineStr">
        <is>
          <t>FW26</t>
        </is>
      </c>
      <c r="C18" s="4" t="inlineStr">
        <is>
          <t>RC2606OW000</t>
        </is>
      </c>
      <c r="D18" s="4" t="inlineStr">
        <is>
          <t>KV1166</t>
        </is>
      </c>
      <c r="E18" s="3" t="inlineStr">
        <is>
          <t>女式梭织上衣</t>
        </is>
      </c>
      <c r="F18" s="4" t="inlineStr">
        <is>
          <t>0902830620</t>
        </is>
      </c>
      <c r="G18" s="4" t="inlineStr">
        <is>
          <t>0307654403</t>
        </is>
      </c>
      <c r="H18" s="4" t="inlineStr">
        <is>
          <t>825066</t>
        </is>
      </c>
      <c r="I18" s="4" t="inlineStr">
        <is>
          <t>苏州仓</t>
        </is>
      </c>
      <c r="J18" s="14" t="n">
        <v>46218</v>
      </c>
      <c r="K18" s="6" t="n">
        <v>6866</v>
      </c>
      <c r="L18" s="7" t="n">
        <v>109.21</v>
      </c>
      <c r="M18" s="7">
        <f>ROUND(0.13*L18*K18,2)</f>
        <v/>
      </c>
      <c r="N18" s="7">
        <f>ROUND(L18*K18+M18,2)</f>
        <v/>
      </c>
      <c r="O18" s="8" t="n">
        <v>117.01</v>
      </c>
      <c r="P18" s="7">
        <f>ROUND(0.13*(K18*O18+Q18),2)</f>
        <v/>
      </c>
      <c r="Q18" s="8" t="n">
        <v>3268.59</v>
      </c>
      <c r="R18" s="7">
        <f>ROUND(O18*K18+P18+Q18,2)</f>
        <v/>
      </c>
      <c r="S18" s="9" t="inlineStr">
        <is>
          <t>1L8006</t>
        </is>
      </c>
      <c r="T18" s="9" t="inlineStr">
        <is>
          <t>丹东新龙太</t>
        </is>
      </c>
      <c r="U18" s="10" t="inlineStr"/>
      <c r="V18" s="10" t="inlineStr">
        <is>
          <t>Rosa</t>
        </is>
      </c>
      <c r="W18" s="10" t="inlineStr">
        <is>
          <t>Jasmine</t>
        </is>
      </c>
    </row>
    <row r="19" ht="20" customHeight="1">
      <c r="A19" s="3" t="inlineStr">
        <is>
          <t>Polka Dot Pack</t>
        </is>
      </c>
      <c r="B19" s="3" t="inlineStr">
        <is>
          <t>FW26</t>
        </is>
      </c>
      <c r="C19" s="4" t="inlineStr">
        <is>
          <t>RC2606OW000</t>
        </is>
      </c>
      <c r="D19" s="4" t="inlineStr">
        <is>
          <t>LI2851</t>
        </is>
      </c>
      <c r="E19" s="3" t="inlineStr">
        <is>
          <t>女式梭织上衣</t>
        </is>
      </c>
      <c r="F19" s="4" t="inlineStr">
        <is>
          <t>0902827996</t>
        </is>
      </c>
      <c r="G19" s="4" t="inlineStr">
        <is>
          <t>0307599543</t>
        </is>
      </c>
      <c r="H19" s="4" t="inlineStr">
        <is>
          <t>825066</t>
        </is>
      </c>
      <c r="I19" s="4" t="inlineStr">
        <is>
          <t>苏州仓</t>
        </is>
      </c>
      <c r="J19" s="14" t="n">
        <v>46225</v>
      </c>
      <c r="K19" s="6" t="n">
        <v>14471</v>
      </c>
      <c r="L19" s="7" t="n">
        <v>109.21</v>
      </c>
      <c r="M19" s="7">
        <f>ROUND(0.13*L19*K19,2)</f>
        <v/>
      </c>
      <c r="N19" s="7">
        <f>ROUND(L19*K19+M19,2)</f>
        <v/>
      </c>
      <c r="O19" s="8" t="n">
        <v>117.49</v>
      </c>
      <c r="P19" s="7">
        <f>ROUND(0.13*(K19*O19+Q19),2)</f>
        <v/>
      </c>
      <c r="Q19" s="8" t="n">
        <v>6832.64</v>
      </c>
      <c r="R19" s="7">
        <f>ROUND(O19*K19+P19+Q19,2)</f>
        <v/>
      </c>
      <c r="S19" s="9" t="inlineStr">
        <is>
          <t>1L8006</t>
        </is>
      </c>
      <c r="T19" s="9" t="inlineStr">
        <is>
          <t>丹东新龙太</t>
        </is>
      </c>
      <c r="U19" s="10" t="inlineStr"/>
      <c r="V19" s="10" t="inlineStr">
        <is>
          <t>Rosa</t>
        </is>
      </c>
      <c r="W19" s="10" t="inlineStr">
        <is>
          <t>Jasmine</t>
        </is>
      </c>
    </row>
    <row r="20" ht="20" customHeight="1">
      <c r="A20" s="3" t="inlineStr">
        <is>
          <t>Polka Dot Pack</t>
        </is>
      </c>
      <c r="B20" s="3" t="inlineStr">
        <is>
          <t>FW26</t>
        </is>
      </c>
      <c r="C20" s="4" t="inlineStr">
        <is>
          <t>RC2606OW000</t>
        </is>
      </c>
      <c r="D20" s="4" t="inlineStr">
        <is>
          <t>LI2851</t>
        </is>
      </c>
      <c r="E20" s="3" t="inlineStr">
        <is>
          <t>女式梭织上衣</t>
        </is>
      </c>
      <c r="F20" s="4" t="inlineStr">
        <is>
          <t>0902827997</t>
        </is>
      </c>
      <c r="G20" s="4" t="inlineStr">
        <is>
          <t>0307599544</t>
        </is>
      </c>
      <c r="H20" s="4" t="inlineStr">
        <is>
          <t>825054</t>
        </is>
      </c>
      <c r="I20" s="4" t="inlineStr">
        <is>
          <t>TTTS 天纺标</t>
        </is>
      </c>
      <c r="J20" s="14" t="n">
        <v>46224</v>
      </c>
      <c r="K20" s="6" t="n">
        <v>2</v>
      </c>
      <c r="L20" s="7" t="n">
        <v>109.21</v>
      </c>
      <c r="M20" s="7">
        <f>ROUND(0.13*L20*K20,2)</f>
        <v/>
      </c>
      <c r="N20" s="7">
        <f>ROUND(L20*K20+M20,2)</f>
        <v/>
      </c>
      <c r="O20" s="8" t="n">
        <v>117.49</v>
      </c>
      <c r="P20" s="7">
        <f>ROUND(0.13*(K20*O20+Q20),2)</f>
        <v/>
      </c>
      <c r="Q20" s="8" t="n">
        <v>0.9399999999999999</v>
      </c>
      <c r="R20" s="7">
        <f>ROUND(O20*K20+P20+Q20,2)</f>
        <v/>
      </c>
      <c r="S20" s="9" t="inlineStr">
        <is>
          <t>1L8006</t>
        </is>
      </c>
      <c r="T20" s="9" t="inlineStr">
        <is>
          <t>丹东新龙太</t>
        </is>
      </c>
      <c r="U20" s="10" t="inlineStr"/>
      <c r="V20" s="10" t="inlineStr">
        <is>
          <t>Rosa</t>
        </is>
      </c>
      <c r="W20" s="10" t="inlineStr">
        <is>
          <t>Jasmine</t>
        </is>
      </c>
    </row>
    <row r="21" ht="20" customHeight="1">
      <c r="A21" s="3" t="inlineStr">
        <is>
          <t>Polka Dot Pack</t>
        </is>
      </c>
      <c r="B21" s="3" t="inlineStr">
        <is>
          <t>FW26</t>
        </is>
      </c>
      <c r="C21" s="4" t="inlineStr">
        <is>
          <t>RC2606OW000</t>
        </is>
      </c>
      <c r="D21" s="4" t="inlineStr">
        <is>
          <t>LI2855</t>
        </is>
      </c>
      <c r="E21" s="3" t="inlineStr">
        <is>
          <t>女式梭织上衣</t>
        </is>
      </c>
      <c r="F21" s="4" t="inlineStr">
        <is>
          <t>0902827994</t>
        </is>
      </c>
      <c r="G21" s="4" t="inlineStr">
        <is>
          <t>0307600481</t>
        </is>
      </c>
      <c r="H21" s="4" t="inlineStr">
        <is>
          <t>825066</t>
        </is>
      </c>
      <c r="I21" s="4" t="inlineStr">
        <is>
          <t>苏州仓</t>
        </is>
      </c>
      <c r="J21" s="14" t="n">
        <v>46218</v>
      </c>
      <c r="K21" s="6" t="n">
        <v>14465</v>
      </c>
      <c r="L21" s="7" t="n">
        <v>109.21</v>
      </c>
      <c r="M21" s="7">
        <f>ROUND(0.13*L21*K21,2)</f>
        <v/>
      </c>
      <c r="N21" s="7">
        <f>ROUND(L21*K21+M21,2)</f>
        <v/>
      </c>
      <c r="O21" s="8" t="n">
        <v>117.49</v>
      </c>
      <c r="P21" s="7">
        <f>ROUND(0.13*(K21*O21+Q21),2)</f>
        <v/>
      </c>
      <c r="Q21" s="8" t="n">
        <v>6829.81</v>
      </c>
      <c r="R21" s="7">
        <f>ROUND(O21*K21+P21+Q21,2)</f>
        <v/>
      </c>
      <c r="S21" s="9" t="inlineStr">
        <is>
          <t>1L8006</t>
        </is>
      </c>
      <c r="T21" s="9" t="inlineStr">
        <is>
          <t>丹东新龙太</t>
        </is>
      </c>
      <c r="U21" s="10" t="inlineStr"/>
      <c r="V21" s="10" t="inlineStr">
        <is>
          <t>Rosa</t>
        </is>
      </c>
      <c r="W21" s="10" t="inlineStr">
        <is>
          <t>Jasmine</t>
        </is>
      </c>
    </row>
    <row r="22" ht="20" customHeight="1">
      <c r="A22" s="3" t="inlineStr">
        <is>
          <t>Polka Dot Pack</t>
        </is>
      </c>
      <c r="B22" s="3" t="inlineStr">
        <is>
          <t>FW26</t>
        </is>
      </c>
      <c r="C22" s="4" t="inlineStr">
        <is>
          <t>RC2606OW000</t>
        </is>
      </c>
      <c r="D22" s="4" t="inlineStr">
        <is>
          <t>LI2855</t>
        </is>
      </c>
      <c r="E22" s="3" t="inlineStr">
        <is>
          <t>女式梭织上衣</t>
        </is>
      </c>
      <c r="F22" s="4" t="inlineStr">
        <is>
          <t>0902827995</t>
        </is>
      </c>
      <c r="G22" s="4" t="inlineStr">
        <is>
          <t>0307599545</t>
        </is>
      </c>
      <c r="H22" s="4" t="inlineStr">
        <is>
          <t>825054</t>
        </is>
      </c>
      <c r="I22" s="4" t="inlineStr">
        <is>
          <t>TTTS 天纺标</t>
        </is>
      </c>
      <c r="J22" s="14" t="n">
        <v>46224</v>
      </c>
      <c r="K22" s="6" t="n">
        <v>2</v>
      </c>
      <c r="L22" s="7" t="n">
        <v>109.21</v>
      </c>
      <c r="M22" s="7">
        <f>ROUND(0.13*L22*K22,2)</f>
        <v/>
      </c>
      <c r="N22" s="7">
        <f>ROUND(L22*K22+M22,2)</f>
        <v/>
      </c>
      <c r="O22" s="8" t="n">
        <v>117.49</v>
      </c>
      <c r="P22" s="7">
        <f>ROUND(0.13*(K22*O22+Q22),2)</f>
        <v/>
      </c>
      <c r="Q22" s="8" t="n">
        <v>0.9399999999999999</v>
      </c>
      <c r="R22" s="7">
        <f>ROUND(O22*K22+P22+Q22,2)</f>
        <v/>
      </c>
      <c r="S22" s="9" t="inlineStr">
        <is>
          <t>1L8006</t>
        </is>
      </c>
      <c r="T22" s="9" t="inlineStr">
        <is>
          <t>丹东新龙太</t>
        </is>
      </c>
      <c r="U22" s="10" t="inlineStr"/>
      <c r="V22" s="10" t="inlineStr">
        <is>
          <t>Rosa</t>
        </is>
      </c>
      <c r="W22" s="10" t="inlineStr">
        <is>
          <t>Jasmine</t>
        </is>
      </c>
    </row>
    <row r="23" ht="20" customHeight="1">
      <c r="A23" s="3" t="inlineStr">
        <is>
          <t>Polka Dot Pack</t>
        </is>
      </c>
      <c r="B23" s="3" t="inlineStr">
        <is>
          <t>FW26</t>
        </is>
      </c>
      <c r="C23" s="4" t="inlineStr">
        <is>
          <t>RC2606OW013</t>
        </is>
      </c>
      <c r="D23" s="4" t="inlineStr">
        <is>
          <t>KV1193</t>
        </is>
      </c>
      <c r="E23" s="3" t="inlineStr">
        <is>
          <t>女式针织T恤</t>
        </is>
      </c>
      <c r="F23" s="4" t="inlineStr">
        <is>
          <t>0902882246</t>
        </is>
      </c>
      <c r="G23" s="4" t="inlineStr">
        <is>
          <t>0307736200</t>
        </is>
      </c>
      <c r="H23" s="4" t="inlineStr">
        <is>
          <t>825057</t>
        </is>
      </c>
      <c r="I23" s="4" t="inlineStr">
        <is>
          <t>天津仓</t>
        </is>
      </c>
      <c r="J23" s="14" t="n">
        <v>46218</v>
      </c>
      <c r="K23" s="6" t="n">
        <v>2129</v>
      </c>
      <c r="L23" s="7" t="n">
        <v>52.12</v>
      </c>
      <c r="M23" s="7">
        <f>ROUND(0.13*L23*K23,2)</f>
        <v/>
      </c>
      <c r="N23" s="7">
        <f>ROUND(L23*K23+M23,2)</f>
        <v/>
      </c>
      <c r="O23" s="8" t="n">
        <v>59.83</v>
      </c>
      <c r="P23" s="7">
        <f>ROUND(0.13*(K23*O23+Q23),2)</f>
        <v/>
      </c>
      <c r="Q23" s="8" t="n">
        <v>1005.23</v>
      </c>
      <c r="R23" s="7">
        <f>ROUND(O23*K23+P23+Q23,2)</f>
        <v/>
      </c>
      <c r="S23" s="9" t="inlineStr">
        <is>
          <t>1L8006</t>
        </is>
      </c>
      <c r="T23" s="9" t="inlineStr">
        <is>
          <t>丹东新龙太</t>
        </is>
      </c>
      <c r="U23" s="10" t="inlineStr"/>
      <c r="V23" s="10" t="inlineStr">
        <is>
          <t>Rosa</t>
        </is>
      </c>
      <c r="W23" s="10" t="inlineStr">
        <is>
          <t>Yinhao</t>
        </is>
      </c>
    </row>
    <row r="24" ht="20" customHeight="1">
      <c r="A24" s="3" t="inlineStr">
        <is>
          <t>Polka Dot Pack</t>
        </is>
      </c>
      <c r="B24" s="3" t="inlineStr">
        <is>
          <t>FW26</t>
        </is>
      </c>
      <c r="C24" s="4" t="inlineStr">
        <is>
          <t>RC2606OW013</t>
        </is>
      </c>
      <c r="D24" s="4" t="inlineStr">
        <is>
          <t>KV1193</t>
        </is>
      </c>
      <c r="E24" s="3" t="inlineStr">
        <is>
          <t>女式针织T恤</t>
        </is>
      </c>
      <c r="F24" s="4" t="inlineStr">
        <is>
          <t>0902882247</t>
        </is>
      </c>
      <c r="G24" s="4" t="inlineStr">
        <is>
          <t>0307736201</t>
        </is>
      </c>
      <c r="H24" s="4" t="inlineStr">
        <is>
          <t>825066</t>
        </is>
      </c>
      <c r="I24" s="4" t="inlineStr">
        <is>
          <t>苏州仓</t>
        </is>
      </c>
      <c r="J24" s="14" t="n">
        <v>46224</v>
      </c>
      <c r="K24" s="6" t="n">
        <v>4089</v>
      </c>
      <c r="L24" s="7" t="n">
        <v>52.12</v>
      </c>
      <c r="M24" s="7">
        <f>ROUND(0.13*L24*K24,2)</f>
        <v/>
      </c>
      <c r="N24" s="7">
        <f>ROUND(L24*K24+M24,2)</f>
        <v/>
      </c>
      <c r="O24" s="8" t="n">
        <v>59.83</v>
      </c>
      <c r="P24" s="7">
        <f>ROUND(0.13*(K24*O24+Q24),2)</f>
        <v/>
      </c>
      <c r="Q24" s="8" t="n">
        <v>1917.95</v>
      </c>
      <c r="R24" s="7">
        <f>ROUND(O24*K24+P24+Q24,2)</f>
        <v/>
      </c>
      <c r="S24" s="9" t="inlineStr">
        <is>
          <t>1L8006</t>
        </is>
      </c>
      <c r="T24" s="9" t="inlineStr">
        <is>
          <t>丹东新龙太</t>
        </is>
      </c>
      <c r="U24" s="10" t="inlineStr"/>
      <c r="V24" s="10" t="inlineStr">
        <is>
          <t>Rosa</t>
        </is>
      </c>
      <c r="W24" s="10" t="inlineStr">
        <is>
          <t>Yinhao</t>
        </is>
      </c>
    </row>
    <row r="25" ht="20" customHeight="1">
      <c r="A25" s="3" t="inlineStr">
        <is>
          <t>Polka Dot Pack</t>
        </is>
      </c>
      <c r="B25" s="3" t="inlineStr">
        <is>
          <t>FW26</t>
        </is>
      </c>
      <c r="C25" s="4" t="inlineStr">
        <is>
          <t>RC2606OW013</t>
        </is>
      </c>
      <c r="D25" s="4" t="inlineStr">
        <is>
          <t>KV1193</t>
        </is>
      </c>
      <c r="E25" s="3" t="inlineStr">
        <is>
          <t>女式针织T恤</t>
        </is>
      </c>
      <c r="F25" s="4" t="inlineStr">
        <is>
          <t>0902882248</t>
        </is>
      </c>
      <c r="G25" s="4" t="inlineStr">
        <is>
          <t>0307736213</t>
        </is>
      </c>
      <c r="H25" s="4" t="inlineStr">
        <is>
          <t>825057</t>
        </is>
      </c>
      <c r="I25" s="4" t="inlineStr">
        <is>
          <t>天津仓</t>
        </is>
      </c>
      <c r="J25" s="14" t="n">
        <v>46218</v>
      </c>
      <c r="K25" s="6" t="n">
        <v>1060</v>
      </c>
      <c r="L25" s="7" t="n">
        <v>52.12</v>
      </c>
      <c r="M25" s="7">
        <f>ROUND(0.13*L25*K25,2)</f>
        <v/>
      </c>
      <c r="N25" s="7">
        <f>ROUND(L25*K25+M25,2)</f>
        <v/>
      </c>
      <c r="O25" s="8" t="n">
        <v>59.83</v>
      </c>
      <c r="P25" s="7">
        <f>ROUND(0.13*(K25*O25+Q25),2)</f>
        <v/>
      </c>
      <c r="Q25" s="8" t="n">
        <v>500.49</v>
      </c>
      <c r="R25" s="7">
        <f>ROUND(O25*K25+P25+Q25,2)</f>
        <v/>
      </c>
      <c r="S25" s="9" t="inlineStr">
        <is>
          <t>1L8006</t>
        </is>
      </c>
      <c r="T25" s="9" t="inlineStr">
        <is>
          <t>丹东新龙太</t>
        </is>
      </c>
      <c r="U25" s="10" t="inlineStr"/>
      <c r="V25" s="10" t="inlineStr">
        <is>
          <t>Rosa</t>
        </is>
      </c>
      <c r="W25" s="10" t="inlineStr">
        <is>
          <t>Yinhao</t>
        </is>
      </c>
    </row>
    <row r="26" ht="20" customHeight="1">
      <c r="A26" s="3" t="inlineStr">
        <is>
          <t>Polka Dot Pack</t>
        </is>
      </c>
      <c r="B26" s="3" t="inlineStr">
        <is>
          <t>FW26</t>
        </is>
      </c>
      <c r="C26" s="4" t="inlineStr">
        <is>
          <t>RC2606OW013</t>
        </is>
      </c>
      <c r="D26" s="4" t="inlineStr">
        <is>
          <t>KV1193</t>
        </is>
      </c>
      <c r="E26" s="3" t="inlineStr">
        <is>
          <t>女式针织T恤</t>
        </is>
      </c>
      <c r="F26" s="4" t="inlineStr">
        <is>
          <t>0902882249</t>
        </is>
      </c>
      <c r="G26" s="4" t="inlineStr">
        <is>
          <t>0307736214</t>
        </is>
      </c>
      <c r="H26" s="4" t="inlineStr">
        <is>
          <t>825066</t>
        </is>
      </c>
      <c r="I26" s="4" t="inlineStr">
        <is>
          <t>苏州仓</t>
        </is>
      </c>
      <c r="J26" s="14" t="n">
        <v>46224</v>
      </c>
      <c r="K26" s="6" t="n">
        <v>2036</v>
      </c>
      <c r="L26" s="7" t="n">
        <v>52.12</v>
      </c>
      <c r="M26" s="7">
        <f>ROUND(0.13*L26*K26,2)</f>
        <v/>
      </c>
      <c r="N26" s="7">
        <f>ROUND(L26*K26+M26,2)</f>
        <v/>
      </c>
      <c r="O26" s="8" t="n">
        <v>59.83</v>
      </c>
      <c r="P26" s="7">
        <f>ROUND(0.13*(K26*O26+Q26),2)</f>
        <v/>
      </c>
      <c r="Q26" s="8" t="n">
        <v>954.98</v>
      </c>
      <c r="R26" s="7">
        <f>ROUND(O26*K26+P26+Q26,2)</f>
        <v/>
      </c>
      <c r="S26" s="9" t="inlineStr">
        <is>
          <t>1L8006</t>
        </is>
      </c>
      <c r="T26" s="9" t="inlineStr">
        <is>
          <t>丹东新龙太</t>
        </is>
      </c>
      <c r="U26" s="10" t="inlineStr"/>
      <c r="V26" s="10" t="inlineStr">
        <is>
          <t>Rosa</t>
        </is>
      </c>
      <c r="W26" s="10" t="inlineStr">
        <is>
          <t>Yinhao</t>
        </is>
      </c>
    </row>
    <row r="27" ht="20" customHeight="1">
      <c r="A27" s="3" t="inlineStr">
        <is>
          <t>Adilenium 5.0 Carryover</t>
        </is>
      </c>
      <c r="B27" s="3" t="inlineStr">
        <is>
          <t>SS26</t>
        </is>
      </c>
      <c r="C27" s="4" t="inlineStr">
        <is>
          <t>RC2607OW010</t>
        </is>
      </c>
      <c r="D27" s="4" t="inlineStr">
        <is>
          <t>KY5185</t>
        </is>
      </c>
      <c r="E27" s="3" t="inlineStr">
        <is>
          <t>女式梭织长裤</t>
        </is>
      </c>
      <c r="F27" s="4" t="inlineStr">
        <is>
          <t>0902882250</t>
        </is>
      </c>
      <c r="G27" s="4" t="inlineStr">
        <is>
          <t>0307736218</t>
        </is>
      </c>
      <c r="H27" s="4" t="inlineStr">
        <is>
          <t>825066</t>
        </is>
      </c>
      <c r="I27" s="4" t="inlineStr">
        <is>
          <t>苏州仓</t>
        </is>
      </c>
      <c r="J27" s="14" t="n">
        <v>46230</v>
      </c>
      <c r="K27" s="6" t="n">
        <v>905</v>
      </c>
      <c r="L27" s="7" t="n">
        <v>142.46</v>
      </c>
      <c r="M27" s="7">
        <f>ROUND(0.13*L27*K27,2)</f>
        <v/>
      </c>
      <c r="N27" s="7">
        <f>ROUND(L27*K27+M27,2)</f>
        <v/>
      </c>
      <c r="O27" s="8" t="n">
        <v>154.93</v>
      </c>
      <c r="P27" s="7">
        <f>ROUND(0.13*(K27*O27+Q27),2)</f>
        <v/>
      </c>
      <c r="Q27" s="8" t="n">
        <v>427.3</v>
      </c>
      <c r="R27" s="7">
        <f>ROUND(O27*K27+P27+Q27,2)</f>
        <v/>
      </c>
      <c r="S27" s="9" t="inlineStr">
        <is>
          <t>1L8006</t>
        </is>
      </c>
      <c r="T27" s="9" t="inlineStr">
        <is>
          <t>丹东新龙太</t>
        </is>
      </c>
      <c r="U27" s="10" t="inlineStr"/>
      <c r="V27" s="10" t="inlineStr">
        <is>
          <t>Diana</t>
        </is>
      </c>
      <c r="W27" s="10" t="inlineStr">
        <is>
          <t>Jasmine</t>
        </is>
      </c>
    </row>
    <row r="28" ht="20" customHeight="1">
      <c r="A28" s="3" t="inlineStr">
        <is>
          <t>Adilenium 5.0 Carryover</t>
        </is>
      </c>
      <c r="B28" s="3" t="inlineStr">
        <is>
          <t>SS26</t>
        </is>
      </c>
      <c r="C28" s="4" t="inlineStr">
        <is>
          <t>RC2607OW010</t>
        </is>
      </c>
      <c r="D28" s="4" t="inlineStr">
        <is>
          <t>KY5185</t>
        </is>
      </c>
      <c r="E28" s="3" t="inlineStr">
        <is>
          <t>女式梭织长裤</t>
        </is>
      </c>
      <c r="F28" s="4" t="inlineStr">
        <is>
          <t>0902882251</t>
        </is>
      </c>
      <c r="G28" s="4" t="inlineStr">
        <is>
          <t>0307736217</t>
        </is>
      </c>
      <c r="H28" s="4" t="inlineStr">
        <is>
          <t>825057</t>
        </is>
      </c>
      <c r="I28" s="4" t="inlineStr">
        <is>
          <t>天津仓</t>
        </is>
      </c>
      <c r="J28" s="14" t="n">
        <v>46230</v>
      </c>
      <c r="K28" s="6" t="n">
        <v>902</v>
      </c>
      <c r="L28" s="7" t="n">
        <v>142.46</v>
      </c>
      <c r="M28" s="7">
        <f>ROUND(0.13*L28*K28,2)</f>
        <v/>
      </c>
      <c r="N28" s="7">
        <f>ROUND(L28*K28+M28,2)</f>
        <v/>
      </c>
      <c r="O28" s="8" t="n">
        <v>154.93</v>
      </c>
      <c r="P28" s="7">
        <f>ROUND(0.13*(K28*O28+Q28),2)</f>
        <v/>
      </c>
      <c r="Q28" s="8" t="n">
        <v>425.89</v>
      </c>
      <c r="R28" s="7">
        <f>ROUND(O28*K28+P28+Q28,2)</f>
        <v/>
      </c>
      <c r="S28" s="9" t="inlineStr">
        <is>
          <t>1L8006</t>
        </is>
      </c>
      <c r="T28" s="9" t="inlineStr">
        <is>
          <t>丹东新龙太</t>
        </is>
      </c>
      <c r="U28" s="10" t="inlineStr"/>
      <c r="V28" s="10" t="inlineStr">
        <is>
          <t>Diana</t>
        </is>
      </c>
      <c r="W28" s="10" t="inlineStr">
        <is>
          <t>Jasmine</t>
        </is>
      </c>
    </row>
    <row r="29" ht="20" customHeight="1">
      <c r="A29" s="3" t="inlineStr">
        <is>
          <t>RC ASOS D4 Pack</t>
        </is>
      </c>
      <c r="B29" s="3" t="inlineStr">
        <is>
          <t>FW26</t>
        </is>
      </c>
      <c r="C29" s="4" t="inlineStr">
        <is>
          <t>RC2620OW000</t>
        </is>
      </c>
      <c r="D29" s="4" t="inlineStr">
        <is>
          <t>LG3959</t>
        </is>
      </c>
      <c r="E29" s="3" t="inlineStr">
        <is>
          <t>女式梭织上衣</t>
        </is>
      </c>
      <c r="F29" s="4" t="inlineStr">
        <is>
          <t>0902599851</t>
        </is>
      </c>
      <c r="G29" s="4" t="inlineStr">
        <is>
          <t>0307079539</t>
        </is>
      </c>
      <c r="H29" s="4" t="inlineStr">
        <is>
          <t>825066</t>
        </is>
      </c>
      <c r="I29" s="4" t="inlineStr">
        <is>
          <t>苏州仓</t>
        </is>
      </c>
      <c r="J29" s="14" t="n">
        <v>46233</v>
      </c>
      <c r="K29" s="6" t="n">
        <v>3083</v>
      </c>
      <c r="L29" s="7" t="n">
        <v>120.91</v>
      </c>
      <c r="M29" s="7">
        <f>ROUND(0.13*L29*K29,2)</f>
        <v/>
      </c>
      <c r="N29" s="7">
        <f>ROUND(L29*K29+M29,2)</f>
        <v/>
      </c>
      <c r="O29" s="8" t="n">
        <v>136.29</v>
      </c>
      <c r="P29" s="7">
        <f>ROUND(0.13*(K29*O29+Q29),2)</f>
        <v/>
      </c>
      <c r="Q29" s="8" t="n">
        <v>1446.09</v>
      </c>
      <c r="R29" s="7">
        <f>ROUND(O29*K29+P29+Q29,2)</f>
        <v/>
      </c>
      <c r="S29" s="9" t="inlineStr">
        <is>
          <t>1L8006</t>
        </is>
      </c>
      <c r="T29" s="9" t="inlineStr">
        <is>
          <t>丹东新龙太</t>
        </is>
      </c>
      <c r="U29" s="10" t="inlineStr"/>
      <c r="V29" s="10" t="inlineStr">
        <is>
          <t>Kelly</t>
        </is>
      </c>
      <c r="W29" s="10" t="inlineStr">
        <is>
          <t>Jasmine</t>
        </is>
      </c>
    </row>
    <row r="30" ht="20" customHeight="1">
      <c r="A30" s="3" t="inlineStr">
        <is>
          <t>RC ASOS D4 Pack</t>
        </is>
      </c>
      <c r="B30" s="3" t="inlineStr">
        <is>
          <t>FW26</t>
        </is>
      </c>
      <c r="C30" s="4" t="inlineStr">
        <is>
          <t>RC2620OW000</t>
        </is>
      </c>
      <c r="D30" s="4" t="inlineStr">
        <is>
          <t>LG3959</t>
        </is>
      </c>
      <c r="E30" s="3" t="inlineStr">
        <is>
          <t>女式梭织上衣</t>
        </is>
      </c>
      <c r="F30" s="4" t="inlineStr">
        <is>
          <t>0902599901</t>
        </is>
      </c>
      <c r="G30" s="4" t="inlineStr">
        <is>
          <t>0307082725</t>
        </is>
      </c>
      <c r="H30" s="4" t="inlineStr">
        <is>
          <t>825054</t>
        </is>
      </c>
      <c r="I30" s="4" t="inlineStr">
        <is>
          <t>TTTS 天纺标</t>
        </is>
      </c>
      <c r="J30" s="14" t="n">
        <v>46233</v>
      </c>
      <c r="K30" s="6" t="n">
        <v>2</v>
      </c>
      <c r="L30" s="7" t="n">
        <v>120.91</v>
      </c>
      <c r="M30" s="7">
        <f>ROUND(0.13*L30*K30,2)</f>
        <v/>
      </c>
      <c r="N30" s="7">
        <f>ROUND(L30*K30+M30,2)</f>
        <v/>
      </c>
      <c r="O30" s="8" t="n">
        <v>136.29</v>
      </c>
      <c r="P30" s="7">
        <f>ROUND(0.13*(K30*O30+Q30),2)</f>
        <v/>
      </c>
      <c r="Q30" s="8" t="n">
        <v>0.9399999999999999</v>
      </c>
      <c r="R30" s="7">
        <f>ROUND(O30*K30+P30+Q30,2)</f>
        <v/>
      </c>
      <c r="S30" s="9" t="inlineStr">
        <is>
          <t>1L8006</t>
        </is>
      </c>
      <c r="T30" s="9" t="inlineStr">
        <is>
          <t>丹东新龙太</t>
        </is>
      </c>
      <c r="U30" s="10" t="inlineStr"/>
      <c r="V30" s="10" t="inlineStr">
        <is>
          <t>Kelly</t>
        </is>
      </c>
      <c r="W30" s="10" t="inlineStr">
        <is>
          <t>Jasmine</t>
        </is>
      </c>
    </row>
    <row r="31" ht="20" customHeight="1">
      <c r="A31" s="3" t="inlineStr">
        <is>
          <t>RC ASOS D4 Pack</t>
        </is>
      </c>
      <c r="B31" s="3" t="inlineStr">
        <is>
          <t>FW26</t>
        </is>
      </c>
      <c r="C31" s="4" t="inlineStr">
        <is>
          <t>RC2620OW000</t>
        </is>
      </c>
      <c r="D31" s="4" t="inlineStr">
        <is>
          <t>LG4075</t>
        </is>
      </c>
      <c r="E31" s="3" t="inlineStr">
        <is>
          <t>女式梭织上衣</t>
        </is>
      </c>
      <c r="F31" s="4" t="inlineStr">
        <is>
          <t>0902599840</t>
        </is>
      </c>
      <c r="G31" s="4" t="inlineStr">
        <is>
          <t>0307082717</t>
        </is>
      </c>
      <c r="H31" s="4" t="inlineStr">
        <is>
          <t>825057</t>
        </is>
      </c>
      <c r="I31" s="4" t="inlineStr">
        <is>
          <t>天津仓</t>
        </is>
      </c>
      <c r="J31" s="14" t="n">
        <v>46233</v>
      </c>
      <c r="K31" s="6" t="n">
        <v>3151</v>
      </c>
      <c r="L31" s="7" t="n">
        <v>120.91</v>
      </c>
      <c r="M31" s="7">
        <f>ROUND(0.13*L31*K31,2)</f>
        <v/>
      </c>
      <c r="N31" s="7">
        <f>ROUND(L31*K31+M31,2)</f>
        <v/>
      </c>
      <c r="O31" s="8" t="n">
        <v>136.29</v>
      </c>
      <c r="P31" s="7">
        <f>ROUND(0.13*(K31*O31+Q31),2)</f>
        <v/>
      </c>
      <c r="Q31" s="8" t="n">
        <v>1477.97</v>
      </c>
      <c r="R31" s="7">
        <f>ROUND(O31*K31+P31+Q31,2)</f>
        <v/>
      </c>
      <c r="S31" s="9" t="inlineStr">
        <is>
          <t>1L8006</t>
        </is>
      </c>
      <c r="T31" s="9" t="inlineStr">
        <is>
          <t>丹东新龙太</t>
        </is>
      </c>
      <c r="U31" s="10" t="inlineStr"/>
      <c r="V31" s="10" t="inlineStr">
        <is>
          <t>Kelly</t>
        </is>
      </c>
      <c r="W31" s="10" t="inlineStr">
        <is>
          <t>Jasmine</t>
        </is>
      </c>
    </row>
    <row r="32" ht="20" customHeight="1">
      <c r="A32" s="3" t="inlineStr">
        <is>
          <t>RC ASOS D4 Pack</t>
        </is>
      </c>
      <c r="B32" s="3" t="inlineStr">
        <is>
          <t>FW26</t>
        </is>
      </c>
      <c r="C32" s="4" t="inlineStr">
        <is>
          <t>RC2620OW000</t>
        </is>
      </c>
      <c r="D32" s="4" t="inlineStr">
        <is>
          <t>LG4075</t>
        </is>
      </c>
      <c r="E32" s="3" t="inlineStr">
        <is>
          <t>女式梭织上衣</t>
        </is>
      </c>
      <c r="F32" s="4" t="inlineStr">
        <is>
          <t>0902599909</t>
        </is>
      </c>
      <c r="G32" s="4" t="inlineStr">
        <is>
          <t>0307082735</t>
        </is>
      </c>
      <c r="H32" s="4" t="inlineStr">
        <is>
          <t>825054</t>
        </is>
      </c>
      <c r="I32" s="4" t="inlineStr">
        <is>
          <t>TTTS 天纺标</t>
        </is>
      </c>
      <c r="J32" s="14" t="n">
        <v>46233</v>
      </c>
      <c r="K32" s="6" t="n">
        <v>2</v>
      </c>
      <c r="L32" s="7" t="n">
        <v>120.91</v>
      </c>
      <c r="M32" s="7">
        <f>ROUND(0.13*L32*K32,2)</f>
        <v/>
      </c>
      <c r="N32" s="7">
        <f>ROUND(L32*K32+M32,2)</f>
        <v/>
      </c>
      <c r="O32" s="8" t="n">
        <v>136.29</v>
      </c>
      <c r="P32" s="7">
        <f>ROUND(0.13*(K32*O32+Q32),2)</f>
        <v/>
      </c>
      <c r="Q32" s="8" t="n">
        <v>0.9399999999999999</v>
      </c>
      <c r="R32" s="7">
        <f>ROUND(O32*K32+P32+Q32,2)</f>
        <v/>
      </c>
      <c r="S32" s="9" t="inlineStr">
        <is>
          <t>1L8006</t>
        </is>
      </c>
      <c r="T32" s="9" t="inlineStr">
        <is>
          <t>丹东新龙太</t>
        </is>
      </c>
      <c r="U32" s="10" t="inlineStr"/>
      <c r="V32" s="10" t="inlineStr">
        <is>
          <t>Kelly</t>
        </is>
      </c>
      <c r="W32" s="10" t="inlineStr">
        <is>
          <t>Jasmine</t>
        </is>
      </c>
    </row>
    <row r="33" ht="20" customHeight="1">
      <c r="A33" s="3" t="inlineStr">
        <is>
          <t>RC ASOS D4 Pack</t>
        </is>
      </c>
      <c r="B33" s="3" t="inlineStr">
        <is>
          <t>FW26</t>
        </is>
      </c>
      <c r="C33" s="4" t="inlineStr">
        <is>
          <t>RC2620OW000</t>
        </is>
      </c>
      <c r="D33" s="4" t="inlineStr">
        <is>
          <t>LG4075</t>
        </is>
      </c>
      <c r="E33" s="3" t="inlineStr">
        <is>
          <t>女式梭织上衣</t>
        </is>
      </c>
      <c r="F33" s="4" t="inlineStr">
        <is>
          <t>0902888335</t>
        </is>
      </c>
      <c r="G33" s="4" t="inlineStr">
        <is>
          <t>0307757662</t>
        </is>
      </c>
      <c r="H33" s="4" t="inlineStr">
        <is>
          <t>825066</t>
        </is>
      </c>
      <c r="I33" s="4" t="inlineStr">
        <is>
          <t>苏州仓</t>
        </is>
      </c>
      <c r="J33" s="14" t="n">
        <v>46233</v>
      </c>
      <c r="K33" s="6" t="n">
        <v>5582</v>
      </c>
      <c r="L33" s="7" t="n">
        <v>120.91</v>
      </c>
      <c r="M33" s="7">
        <f>ROUND(0.13*L33*K33,2)</f>
        <v/>
      </c>
      <c r="N33" s="7">
        <f>ROUND(L33*K33+M33,2)</f>
        <v/>
      </c>
      <c r="O33" s="8" t="n">
        <v>135.81</v>
      </c>
      <c r="P33" s="7">
        <f>ROUND(0.13*(K33*O33+Q33),2)</f>
        <v/>
      </c>
      <c r="Q33" s="8" t="n">
        <v>2618.24</v>
      </c>
      <c r="R33" s="7">
        <f>ROUND(O33*K33+P33+Q33,2)</f>
        <v/>
      </c>
      <c r="S33" s="9" t="inlineStr">
        <is>
          <t>1L8006</t>
        </is>
      </c>
      <c r="T33" s="9" t="inlineStr">
        <is>
          <t>丹东新龙太</t>
        </is>
      </c>
      <c r="U33" s="10" t="inlineStr"/>
      <c r="V33" s="10" t="inlineStr">
        <is>
          <t>Kelly</t>
        </is>
      </c>
      <c r="W33" s="10" t="inlineStr">
        <is>
          <t>Jasmine</t>
        </is>
      </c>
    </row>
    <row r="34" ht="20" customHeight="1">
      <c r="A34" s="3" t="inlineStr">
        <is>
          <t>RC ASOS D4 Pack</t>
        </is>
      </c>
      <c r="B34" s="3" t="inlineStr">
        <is>
          <t>FW26</t>
        </is>
      </c>
      <c r="C34" s="4" t="inlineStr">
        <is>
          <t>RC2620OW005</t>
        </is>
      </c>
      <c r="D34" s="4" t="inlineStr">
        <is>
          <t>LG3947</t>
        </is>
      </c>
      <c r="E34" s="3" t="inlineStr">
        <is>
          <t>女式梭织上衣</t>
        </is>
      </c>
      <c r="F34" s="4" t="inlineStr">
        <is>
          <t>0902599853</t>
        </is>
      </c>
      <c r="G34" s="4" t="inlineStr">
        <is>
          <t>0307082720</t>
        </is>
      </c>
      <c r="H34" s="4" t="inlineStr">
        <is>
          <t>825066</t>
        </is>
      </c>
      <c r="I34" s="4" t="inlineStr">
        <is>
          <t>苏州仓</t>
        </is>
      </c>
      <c r="J34" s="14" t="n">
        <v>46232</v>
      </c>
      <c r="K34" s="6" t="n">
        <v>482</v>
      </c>
      <c r="L34" s="7" t="n">
        <v>141.13</v>
      </c>
      <c r="M34" s="7">
        <f>ROUND(0.13*L34*K34,2)</f>
        <v/>
      </c>
      <c r="N34" s="7">
        <f>ROUND(L34*K34+M34,2)</f>
        <v/>
      </c>
      <c r="O34" s="8" t="n">
        <v>160.04</v>
      </c>
      <c r="P34" s="7">
        <f>ROUND(0.13*(K34*O34+Q34),2)</f>
        <v/>
      </c>
      <c r="Q34" s="8" t="n">
        <v>226.08</v>
      </c>
      <c r="R34" s="7">
        <f>ROUND(O34*K34+P34+Q34,2)</f>
        <v/>
      </c>
      <c r="S34" s="9" t="inlineStr">
        <is>
          <t>1L8006</t>
        </is>
      </c>
      <c r="T34" s="9" t="inlineStr">
        <is>
          <t>丹东新龙太</t>
        </is>
      </c>
      <c r="U34" s="10" t="inlineStr"/>
      <c r="V34" s="10" t="inlineStr">
        <is>
          <t>Kelly</t>
        </is>
      </c>
      <c r="W34" s="10" t="inlineStr">
        <is>
          <t>Yinhao</t>
        </is>
      </c>
    </row>
    <row r="35" ht="20" customHeight="1">
      <c r="A35" s="3" t="inlineStr">
        <is>
          <t>RC ASOS D4 Pack</t>
        </is>
      </c>
      <c r="B35" s="3" t="inlineStr">
        <is>
          <t>FW26</t>
        </is>
      </c>
      <c r="C35" s="4" t="inlineStr">
        <is>
          <t>RC2620OW005</t>
        </is>
      </c>
      <c r="D35" s="4" t="inlineStr">
        <is>
          <t>LG3947</t>
        </is>
      </c>
      <c r="E35" s="3" t="inlineStr">
        <is>
          <t>女式梭织上衣</t>
        </is>
      </c>
      <c r="F35" s="4" t="inlineStr">
        <is>
          <t>0902599921</t>
        </is>
      </c>
      <c r="G35" s="4" t="inlineStr">
        <is>
          <t>0307082760</t>
        </is>
      </c>
      <c r="H35" s="4" t="inlineStr">
        <is>
          <t>825054</t>
        </is>
      </c>
      <c r="I35" s="4" t="inlineStr">
        <is>
          <t>TTTS 天纺标</t>
        </is>
      </c>
      <c r="J35" s="14" t="n">
        <v>46234</v>
      </c>
      <c r="K35" s="6" t="n">
        <v>2</v>
      </c>
      <c r="L35" s="7" t="n">
        <v>141.13</v>
      </c>
      <c r="M35" s="7">
        <f>ROUND(0.13*L35*K35,2)</f>
        <v/>
      </c>
      <c r="N35" s="7">
        <f>ROUND(L35*K35+M35,2)</f>
        <v/>
      </c>
      <c r="O35" s="8" t="n">
        <v>160.04</v>
      </c>
      <c r="P35" s="7">
        <f>ROUND(0.13*(K35*O35+Q35),2)</f>
        <v/>
      </c>
      <c r="Q35" s="8" t="n">
        <v>0.9399999999999999</v>
      </c>
      <c r="R35" s="7">
        <f>ROUND(O35*K35+P35+Q35,2)</f>
        <v/>
      </c>
      <c r="S35" s="9" t="inlineStr">
        <is>
          <t>1L8006</t>
        </is>
      </c>
      <c r="T35" s="9" t="inlineStr">
        <is>
          <t>丹东新龙太</t>
        </is>
      </c>
      <c r="U35" s="10" t="inlineStr"/>
      <c r="V35" s="10" t="inlineStr">
        <is>
          <t>Kelly</t>
        </is>
      </c>
      <c r="W35" s="10" t="inlineStr">
        <is>
          <t>Yinhao</t>
        </is>
      </c>
    </row>
    <row r="36" ht="20" customHeight="1">
      <c r="A36" s="3" t="inlineStr">
        <is>
          <t>RC ASOS D4 Pack</t>
        </is>
      </c>
      <c r="B36" s="3" t="inlineStr">
        <is>
          <t>FW26</t>
        </is>
      </c>
      <c r="C36" s="4" t="inlineStr">
        <is>
          <t>RC2620OW005</t>
        </is>
      </c>
      <c r="D36" s="4" t="inlineStr">
        <is>
          <t>LG4081</t>
        </is>
      </c>
      <c r="E36" s="3" t="inlineStr">
        <is>
          <t>女式梭织上衣</t>
        </is>
      </c>
      <c r="F36" s="4" t="inlineStr">
        <is>
          <t>0902599845</t>
        </is>
      </c>
      <c r="G36" s="4" t="inlineStr">
        <is>
          <t>0307082158</t>
        </is>
      </c>
      <c r="H36" s="4" t="inlineStr">
        <is>
          <t>825066</t>
        </is>
      </c>
      <c r="I36" s="4" t="inlineStr">
        <is>
          <t>苏州仓</t>
        </is>
      </c>
      <c r="J36" s="14" t="n">
        <v>46232</v>
      </c>
      <c r="K36" s="6" t="n">
        <v>542</v>
      </c>
      <c r="L36" s="7" t="n">
        <v>141.13</v>
      </c>
      <c r="M36" s="7">
        <f>ROUND(0.13*L36*K36,2)</f>
        <v/>
      </c>
      <c r="N36" s="7">
        <f>ROUND(L36*K36+M36,2)</f>
        <v/>
      </c>
      <c r="O36" s="8" t="n">
        <v>160.04</v>
      </c>
      <c r="P36" s="7">
        <f>ROUND(0.13*(K36*O36+Q36),2)</f>
        <v/>
      </c>
      <c r="Q36" s="8" t="n">
        <v>254.22</v>
      </c>
      <c r="R36" s="7">
        <f>ROUND(O36*K36+P36+Q36,2)</f>
        <v/>
      </c>
      <c r="S36" s="9" t="inlineStr">
        <is>
          <t>1L8006</t>
        </is>
      </c>
      <c r="T36" s="9" t="inlineStr">
        <is>
          <t>丹东新龙太</t>
        </is>
      </c>
      <c r="U36" s="10" t="inlineStr"/>
      <c r="V36" s="10" t="inlineStr">
        <is>
          <t>Kelly</t>
        </is>
      </c>
      <c r="W36" s="10" t="inlineStr">
        <is>
          <t>Yinhao</t>
        </is>
      </c>
    </row>
    <row r="37" ht="20" customHeight="1">
      <c r="A37" s="3" t="inlineStr">
        <is>
          <t>RC ASOS D4 Pack</t>
        </is>
      </c>
      <c r="B37" s="3" t="inlineStr">
        <is>
          <t>FW26</t>
        </is>
      </c>
      <c r="C37" s="4" t="inlineStr">
        <is>
          <t>RC2620OW005</t>
        </is>
      </c>
      <c r="D37" s="4" t="inlineStr">
        <is>
          <t>LG4081</t>
        </is>
      </c>
      <c r="E37" s="3" t="inlineStr">
        <is>
          <t>女式梭织上衣</t>
        </is>
      </c>
      <c r="F37" s="4" t="inlineStr">
        <is>
          <t>0902599912</t>
        </is>
      </c>
      <c r="G37" s="4" t="inlineStr">
        <is>
          <t>0307082740</t>
        </is>
      </c>
      <c r="H37" s="4" t="inlineStr">
        <is>
          <t>825054</t>
        </is>
      </c>
      <c r="I37" s="4" t="inlineStr">
        <is>
          <t>TTTS 天纺标</t>
        </is>
      </c>
      <c r="J37" s="14" t="n">
        <v>46234</v>
      </c>
      <c r="K37" s="6" t="n">
        <v>2</v>
      </c>
      <c r="L37" s="7" t="n">
        <v>141.13</v>
      </c>
      <c r="M37" s="7">
        <f>ROUND(0.13*L37*K37,2)</f>
        <v/>
      </c>
      <c r="N37" s="7">
        <f>ROUND(L37*K37+M37,2)</f>
        <v/>
      </c>
      <c r="O37" s="8" t="n">
        <v>160.04</v>
      </c>
      <c r="P37" s="7">
        <f>ROUND(0.13*(K37*O37+Q37),2)</f>
        <v/>
      </c>
      <c r="Q37" s="8" t="n">
        <v>0.9399999999999999</v>
      </c>
      <c r="R37" s="7">
        <f>ROUND(O37*K37+P37+Q37,2)</f>
        <v/>
      </c>
      <c r="S37" s="9" t="inlineStr">
        <is>
          <t>1L8006</t>
        </is>
      </c>
      <c r="T37" s="9" t="inlineStr">
        <is>
          <t>丹东新龙太</t>
        </is>
      </c>
      <c r="U37" s="10" t="inlineStr"/>
      <c r="V37" s="10" t="inlineStr">
        <is>
          <t>Kelly</t>
        </is>
      </c>
      <c r="W37" s="10" t="inlineStr">
        <is>
          <t>Yinhao</t>
        </is>
      </c>
    </row>
    <row r="38" ht="20" customHeight="1">
      <c r="A38" s="3" t="inlineStr">
        <is>
          <t>RC ASOS D4 Pack</t>
        </is>
      </c>
      <c r="B38" s="3" t="inlineStr">
        <is>
          <t>FW26</t>
        </is>
      </c>
      <c r="C38" s="4" t="inlineStr">
        <is>
          <t>RC2620OW006</t>
        </is>
      </c>
      <c r="D38" s="4" t="inlineStr">
        <is>
          <t>LG3943</t>
        </is>
      </c>
      <c r="E38" s="3" t="inlineStr">
        <is>
          <t>女式梭织长裤</t>
        </is>
      </c>
      <c r="F38" s="4" t="inlineStr">
        <is>
          <t>0902599919</t>
        </is>
      </c>
      <c r="G38" s="4" t="inlineStr">
        <is>
          <t>0307082750</t>
        </is>
      </c>
      <c r="H38" s="4" t="inlineStr">
        <is>
          <t>825054</t>
        </is>
      </c>
      <c r="I38" s="4" t="inlineStr">
        <is>
          <t>TTTS 天纺标</t>
        </is>
      </c>
      <c r="J38" s="14" t="n">
        <v>46209</v>
      </c>
      <c r="K38" s="6" t="n">
        <v>2</v>
      </c>
      <c r="L38" s="7" t="n">
        <v>141.48</v>
      </c>
      <c r="M38" s="7">
        <f>ROUND(0.13*L38*K38,2)</f>
        <v/>
      </c>
      <c r="N38" s="7">
        <f>ROUND(L38*K38+M38,2)</f>
        <v/>
      </c>
      <c r="O38" s="8" t="n">
        <v>159.92</v>
      </c>
      <c r="P38" s="7">
        <f>ROUND(0.13*(K38*O38+Q38),2)</f>
        <v/>
      </c>
      <c r="Q38" s="8" t="n">
        <v>0.95</v>
      </c>
      <c r="R38" s="7">
        <f>ROUND(O38*K38+P38+Q38,2)</f>
        <v/>
      </c>
      <c r="S38" s="9" t="inlineStr">
        <is>
          <t>1L8006</t>
        </is>
      </c>
      <c r="T38" s="9" t="inlineStr">
        <is>
          <t>丹东新龙太</t>
        </is>
      </c>
      <c r="U38" s="10" t="inlineStr"/>
      <c r="V38" s="10" t="inlineStr">
        <is>
          <t>Kelly</t>
        </is>
      </c>
      <c r="W38" s="10" t="inlineStr">
        <is>
          <t>Yinhao</t>
        </is>
      </c>
    </row>
    <row r="39" ht="20" customHeight="1">
      <c r="A39" s="3" t="inlineStr">
        <is>
          <t>RC ASOS D4 Pack</t>
        </is>
      </c>
      <c r="B39" s="3" t="inlineStr">
        <is>
          <t>FW26</t>
        </is>
      </c>
      <c r="C39" s="4" t="inlineStr">
        <is>
          <t>RC2620OW006</t>
        </is>
      </c>
      <c r="D39" s="4" t="inlineStr">
        <is>
          <t>LG4079</t>
        </is>
      </c>
      <c r="E39" s="3" t="inlineStr">
        <is>
          <t>女式梭织长裤</t>
        </is>
      </c>
      <c r="F39" s="4" t="inlineStr">
        <is>
          <t>0902599918</t>
        </is>
      </c>
      <c r="G39" s="4" t="inlineStr">
        <is>
          <t>0307082744</t>
        </is>
      </c>
      <c r="H39" s="4" t="inlineStr">
        <is>
          <t>825054</t>
        </is>
      </c>
      <c r="I39" s="4" t="inlineStr">
        <is>
          <t>TTTS 天纺标</t>
        </is>
      </c>
      <c r="J39" s="14" t="n">
        <v>46209</v>
      </c>
      <c r="K39" s="6" t="n">
        <v>2</v>
      </c>
      <c r="L39" s="7" t="n">
        <v>141.48</v>
      </c>
      <c r="M39" s="7">
        <f>ROUND(0.13*L39*K39,2)</f>
        <v/>
      </c>
      <c r="N39" s="7">
        <f>ROUND(L39*K39+M39,2)</f>
        <v/>
      </c>
      <c r="O39" s="8" t="n">
        <v>159.92</v>
      </c>
      <c r="P39" s="7">
        <f>ROUND(0.13*(K39*O39+Q39),2)</f>
        <v/>
      </c>
      <c r="Q39" s="8" t="n">
        <v>0.95</v>
      </c>
      <c r="R39" s="7">
        <f>ROUND(O39*K39+P39+Q39,2)</f>
        <v/>
      </c>
      <c r="S39" s="9" t="inlineStr">
        <is>
          <t>1L8006</t>
        </is>
      </c>
      <c r="T39" s="9" t="inlineStr">
        <is>
          <t>丹东新龙太</t>
        </is>
      </c>
      <c r="U39" s="10" t="inlineStr"/>
      <c r="V39" s="10" t="inlineStr">
        <is>
          <t>Kelly</t>
        </is>
      </c>
      <c r="W39" s="10" t="inlineStr">
        <is>
          <t>Yinhao</t>
        </is>
      </c>
    </row>
    <row r="40" ht="20" customHeight="1">
      <c r="A40" s="3" t="inlineStr">
        <is>
          <t>RC ASOS D4 Pack</t>
        </is>
      </c>
      <c r="B40" s="3" t="inlineStr">
        <is>
          <t>FW26</t>
        </is>
      </c>
      <c r="C40" s="4" t="inlineStr">
        <is>
          <t>RC2620OW007</t>
        </is>
      </c>
      <c r="D40" s="4" t="inlineStr">
        <is>
          <t>LG4326</t>
        </is>
      </c>
      <c r="E40" s="3" t="inlineStr">
        <is>
          <t>女式针织上衣</t>
        </is>
      </c>
      <c r="F40" s="4" t="inlineStr">
        <is>
          <t>0902599867</t>
        </is>
      </c>
      <c r="G40" s="4" t="inlineStr">
        <is>
          <t>0307082723</t>
        </is>
      </c>
      <c r="H40" s="4" t="inlineStr">
        <is>
          <t>825057</t>
        </is>
      </c>
      <c r="I40" s="4" t="inlineStr">
        <is>
          <t>天津仓</t>
        </is>
      </c>
      <c r="J40" s="14" t="n">
        <v>46218</v>
      </c>
      <c r="K40" s="6" t="n">
        <v>810</v>
      </c>
      <c r="L40" s="7" t="n">
        <v>79.06999999999999</v>
      </c>
      <c r="M40" s="7">
        <f>ROUND(0.13*L40*K40,2)</f>
        <v/>
      </c>
      <c r="N40" s="7">
        <f>ROUND(L40*K40+M40,2)</f>
        <v/>
      </c>
      <c r="O40" s="8" t="n">
        <v>89.39</v>
      </c>
      <c r="P40" s="7">
        <f>ROUND(0.13*(K40*O40+Q40),2)</f>
        <v/>
      </c>
      <c r="Q40" s="8" t="n">
        <v>385.79</v>
      </c>
      <c r="R40" s="7">
        <f>ROUND(O40*K40+P40+Q40,2)</f>
        <v/>
      </c>
      <c r="S40" s="9" t="inlineStr">
        <is>
          <t>1L8006</t>
        </is>
      </c>
      <c r="T40" s="9" t="inlineStr">
        <is>
          <t>丹东新龙太</t>
        </is>
      </c>
      <c r="U40" s="10" t="inlineStr"/>
      <c r="V40" s="10" t="inlineStr">
        <is>
          <t>Kelly</t>
        </is>
      </c>
      <c r="W40" s="10" t="inlineStr">
        <is>
          <t>Yinhao</t>
        </is>
      </c>
    </row>
    <row r="41" ht="20" customHeight="1">
      <c r="A41" s="3" t="inlineStr">
        <is>
          <t>RC ASOS D4 Pack</t>
        </is>
      </c>
      <c r="B41" s="3" t="inlineStr">
        <is>
          <t>FW26</t>
        </is>
      </c>
      <c r="C41" s="4" t="inlineStr">
        <is>
          <t>RC2620OW007</t>
        </is>
      </c>
      <c r="D41" s="4" t="inlineStr">
        <is>
          <t>LG4326</t>
        </is>
      </c>
      <c r="E41" s="3" t="inlineStr">
        <is>
          <t>女式针织上衣</t>
        </is>
      </c>
      <c r="F41" s="4" t="inlineStr">
        <is>
          <t>0902599872</t>
        </is>
      </c>
      <c r="G41" s="4" t="inlineStr">
        <is>
          <t>0307082160</t>
        </is>
      </c>
      <c r="H41" s="4" t="inlineStr">
        <is>
          <t>825056</t>
        </is>
      </c>
      <c r="I41" s="4" t="inlineStr">
        <is>
          <t>苏州仓</t>
        </is>
      </c>
      <c r="J41" s="14" t="n">
        <v>46218</v>
      </c>
      <c r="K41" s="6" t="n">
        <v>1366</v>
      </c>
      <c r="L41" s="7" t="n">
        <v>79.06999999999999</v>
      </c>
      <c r="M41" s="7">
        <f>ROUND(0.13*L41*K41,2)</f>
        <v/>
      </c>
      <c r="N41" s="7">
        <f>ROUND(L41*K41+M41,2)</f>
        <v/>
      </c>
      <c r="O41" s="8" t="n">
        <v>89.39</v>
      </c>
      <c r="P41" s="7">
        <f>ROUND(0.13*(K41*O41+Q41),2)</f>
        <v/>
      </c>
      <c r="Q41" s="8" t="n">
        <v>650.6</v>
      </c>
      <c r="R41" s="7">
        <f>ROUND(O41*K41+P41+Q41,2)</f>
        <v/>
      </c>
      <c r="S41" s="9" t="inlineStr">
        <is>
          <t>1L8006</t>
        </is>
      </c>
      <c r="T41" s="9" t="inlineStr">
        <is>
          <t>丹东新龙太</t>
        </is>
      </c>
      <c r="U41" s="10" t="inlineStr"/>
      <c r="V41" s="10" t="inlineStr">
        <is>
          <t>Kelly</t>
        </is>
      </c>
      <c r="W41" s="10" t="inlineStr">
        <is>
          <t>Yinhao</t>
        </is>
      </c>
    </row>
    <row r="42" ht="20" customHeight="1">
      <c r="A42" s="3" t="inlineStr">
        <is>
          <t>RC ASOS D4 Pack</t>
        </is>
      </c>
      <c r="B42" s="3" t="inlineStr">
        <is>
          <t>FW26</t>
        </is>
      </c>
      <c r="C42" s="4" t="inlineStr">
        <is>
          <t>RC2620OW007</t>
        </is>
      </c>
      <c r="D42" s="4" t="inlineStr">
        <is>
          <t>LG4326</t>
        </is>
      </c>
      <c r="E42" s="3" t="inlineStr">
        <is>
          <t>女式针织上衣</t>
        </is>
      </c>
      <c r="F42" s="4" t="inlineStr">
        <is>
          <t>0902599879</t>
        </is>
      </c>
      <c r="G42" s="4" t="inlineStr">
        <is>
          <t>0307082273</t>
        </is>
      </c>
      <c r="H42" s="4" t="inlineStr">
        <is>
          <t>825066</t>
        </is>
      </c>
      <c r="I42" s="4" t="inlineStr">
        <is>
          <t>苏州仓</t>
        </is>
      </c>
      <c r="J42" s="14" t="n">
        <v>46218</v>
      </c>
      <c r="K42" s="6" t="n">
        <v>480</v>
      </c>
      <c r="L42" s="7" t="n">
        <v>79.06999999999999</v>
      </c>
      <c r="M42" s="7">
        <f>ROUND(0.13*L42*K42,2)</f>
        <v/>
      </c>
      <c r="N42" s="7">
        <f>ROUND(L42*K42+M42,2)</f>
        <v/>
      </c>
      <c r="O42" s="8" t="n">
        <v>89.39</v>
      </c>
      <c r="P42" s="7">
        <f>ROUND(0.13*(K42*O42+Q42),2)</f>
        <v/>
      </c>
      <c r="Q42" s="8" t="n">
        <v>228.62</v>
      </c>
      <c r="R42" s="7">
        <f>ROUND(O42*K42+P42+Q42,2)</f>
        <v/>
      </c>
      <c r="S42" s="9" t="inlineStr">
        <is>
          <t>1L8006</t>
        </is>
      </c>
      <c r="T42" s="9" t="inlineStr">
        <is>
          <t>丹东新龙太</t>
        </is>
      </c>
      <c r="U42" s="10" t="inlineStr"/>
      <c r="V42" s="10" t="inlineStr">
        <is>
          <t>Kelly</t>
        </is>
      </c>
      <c r="W42" s="10" t="inlineStr">
        <is>
          <t>Yinhao</t>
        </is>
      </c>
    </row>
    <row r="43" ht="20" customHeight="1">
      <c r="A43" s="3" t="inlineStr">
        <is>
          <t>RC ASOS D4 Pack</t>
        </is>
      </c>
      <c r="B43" s="3" t="inlineStr">
        <is>
          <t>FW26</t>
        </is>
      </c>
      <c r="C43" s="4" t="inlineStr">
        <is>
          <t>RC2620OW007</t>
        </is>
      </c>
      <c r="D43" s="4" t="inlineStr">
        <is>
          <t>LG4326</t>
        </is>
      </c>
      <c r="E43" s="3" t="inlineStr">
        <is>
          <t>女式针织上衣</t>
        </is>
      </c>
      <c r="F43" s="4" t="inlineStr">
        <is>
          <t>0902599905</t>
        </is>
      </c>
      <c r="G43" s="4" t="inlineStr">
        <is>
          <t>0307082742</t>
        </is>
      </c>
      <c r="H43" s="4" t="inlineStr">
        <is>
          <t>825054</t>
        </is>
      </c>
      <c r="I43" s="4" t="inlineStr">
        <is>
          <t>TTTS 天纺标</t>
        </is>
      </c>
      <c r="J43" s="14" t="n">
        <v>46209</v>
      </c>
      <c r="K43" s="6" t="n">
        <v>2</v>
      </c>
      <c r="L43" s="7" t="n">
        <v>79.06999999999999</v>
      </c>
      <c r="M43" s="7">
        <f>ROUND(0.13*L43*K43,2)</f>
        <v/>
      </c>
      <c r="N43" s="7">
        <f>ROUND(L43*K43+M43,2)</f>
        <v/>
      </c>
      <c r="O43" s="8" t="n">
        <v>89.39</v>
      </c>
      <c r="P43" s="7">
        <f>ROUND(0.13*(K43*O43+Q43),2)</f>
        <v/>
      </c>
      <c r="Q43" s="8" t="n">
        <v>0.95</v>
      </c>
      <c r="R43" s="7">
        <f>ROUND(O43*K43+P43+Q43,2)</f>
        <v/>
      </c>
      <c r="S43" s="9" t="inlineStr">
        <is>
          <t>1L8006</t>
        </is>
      </c>
      <c r="T43" s="9" t="inlineStr">
        <is>
          <t>丹东新龙太</t>
        </is>
      </c>
      <c r="U43" s="10" t="inlineStr"/>
      <c r="V43" s="10" t="inlineStr">
        <is>
          <t>Kelly</t>
        </is>
      </c>
      <c r="W43" s="10" t="inlineStr">
        <is>
          <t>Yinhao</t>
        </is>
      </c>
    </row>
    <row r="44" ht="20" customHeight="1">
      <c r="A44" s="3" t="inlineStr">
        <is>
          <t>RC ASOS D4 Pack</t>
        </is>
      </c>
      <c r="B44" s="3" t="inlineStr">
        <is>
          <t>FW26</t>
        </is>
      </c>
      <c r="C44" s="4" t="inlineStr">
        <is>
          <t>RC2620OW007</t>
        </is>
      </c>
      <c r="D44" s="4" t="inlineStr">
        <is>
          <t>LG4328</t>
        </is>
      </c>
      <c r="E44" s="3" t="inlineStr">
        <is>
          <t>女式针织上衣</t>
        </is>
      </c>
      <c r="F44" s="4" t="inlineStr">
        <is>
          <t>0902599871</t>
        </is>
      </c>
      <c r="G44" s="4" t="inlineStr">
        <is>
          <t>0307082162</t>
        </is>
      </c>
      <c r="H44" s="4" t="inlineStr">
        <is>
          <t>825066</t>
        </is>
      </c>
      <c r="I44" s="4" t="inlineStr">
        <is>
          <t>苏州仓</t>
        </is>
      </c>
      <c r="J44" s="14" t="n">
        <v>46218</v>
      </c>
      <c r="K44" s="6" t="n">
        <v>1393</v>
      </c>
      <c r="L44" s="7" t="n">
        <v>79.06999999999999</v>
      </c>
      <c r="M44" s="7">
        <f>ROUND(0.13*L44*K44,2)</f>
        <v/>
      </c>
      <c r="N44" s="7">
        <f>ROUND(L44*K44+M44,2)</f>
        <v/>
      </c>
      <c r="O44" s="8" t="n">
        <v>89.39</v>
      </c>
      <c r="P44" s="7">
        <f>ROUND(0.13*(K44*O44+Q44),2)</f>
        <v/>
      </c>
      <c r="Q44" s="8" t="n">
        <v>663.48</v>
      </c>
      <c r="R44" s="7">
        <f>ROUND(O44*K44+P44+Q44,2)</f>
        <v/>
      </c>
      <c r="S44" s="9" t="inlineStr">
        <is>
          <t>1L8006</t>
        </is>
      </c>
      <c r="T44" s="9" t="inlineStr">
        <is>
          <t>丹东新龙太</t>
        </is>
      </c>
      <c r="U44" s="10" t="inlineStr"/>
      <c r="V44" s="10" t="inlineStr">
        <is>
          <t>Kelly</t>
        </is>
      </c>
      <c r="W44" s="10" t="inlineStr">
        <is>
          <t>Yinhao</t>
        </is>
      </c>
    </row>
    <row r="45" ht="20" customHeight="1">
      <c r="A45" s="3" t="inlineStr">
        <is>
          <t>RC ASOS D4 Pack</t>
        </is>
      </c>
      <c r="B45" s="3" t="inlineStr">
        <is>
          <t>FW26</t>
        </is>
      </c>
      <c r="C45" s="4" t="inlineStr">
        <is>
          <t>RC2620OW007</t>
        </is>
      </c>
      <c r="D45" s="4" t="inlineStr">
        <is>
          <t>LG4328</t>
        </is>
      </c>
      <c r="E45" s="3" t="inlineStr">
        <is>
          <t>女式针织上衣</t>
        </is>
      </c>
      <c r="F45" s="4" t="inlineStr">
        <is>
          <t>0902599881</t>
        </is>
      </c>
      <c r="G45" s="4" t="inlineStr">
        <is>
          <t>0307079540</t>
        </is>
      </c>
      <c r="H45" s="4" t="inlineStr">
        <is>
          <t>825056</t>
        </is>
      </c>
      <c r="I45" s="4" t="inlineStr">
        <is>
          <t>苏州仓</t>
        </is>
      </c>
      <c r="J45" s="14" t="n">
        <v>46218</v>
      </c>
      <c r="K45" s="6" t="n">
        <v>3185</v>
      </c>
      <c r="L45" s="7" t="n">
        <v>79.06999999999999</v>
      </c>
      <c r="M45" s="7">
        <f>ROUND(0.13*L45*K45,2)</f>
        <v/>
      </c>
      <c r="N45" s="7">
        <f>ROUND(L45*K45+M45,2)</f>
        <v/>
      </c>
      <c r="O45" s="8" t="n">
        <v>89.39</v>
      </c>
      <c r="P45" s="7">
        <f>ROUND(0.13*(K45*O45+Q45),2)</f>
        <v/>
      </c>
      <c r="Q45" s="8" t="n">
        <v>1516.97</v>
      </c>
      <c r="R45" s="7">
        <f>ROUND(O45*K45+P45+Q45,2)</f>
        <v/>
      </c>
      <c r="S45" s="9" t="inlineStr">
        <is>
          <t>1L8006</t>
        </is>
      </c>
      <c r="T45" s="9" t="inlineStr">
        <is>
          <t>丹东新龙太</t>
        </is>
      </c>
      <c r="U45" s="10" t="inlineStr"/>
      <c r="V45" s="10" t="inlineStr">
        <is>
          <t>Kelly</t>
        </is>
      </c>
      <c r="W45" s="10" t="inlineStr">
        <is>
          <t>Yinhao</t>
        </is>
      </c>
    </row>
    <row r="46" ht="20" customHeight="1">
      <c r="A46" s="3" t="inlineStr">
        <is>
          <t>RC ASOS D4 Pack</t>
        </is>
      </c>
      <c r="B46" s="3" t="inlineStr">
        <is>
          <t>FW26</t>
        </is>
      </c>
      <c r="C46" s="4" t="inlineStr">
        <is>
          <t>RC2620OW007</t>
        </is>
      </c>
      <c r="D46" s="4" t="inlineStr">
        <is>
          <t>LG4328</t>
        </is>
      </c>
      <c r="E46" s="3" t="inlineStr">
        <is>
          <t>女式针织上衣</t>
        </is>
      </c>
      <c r="F46" s="4" t="inlineStr">
        <is>
          <t>0902599882</t>
        </is>
      </c>
      <c r="G46" s="4" t="inlineStr">
        <is>
          <t>0307082161</t>
        </is>
      </c>
      <c r="H46" s="4" t="inlineStr">
        <is>
          <t>825057</t>
        </is>
      </c>
      <c r="I46" s="4" t="inlineStr">
        <is>
          <t>天津仓</t>
        </is>
      </c>
      <c r="J46" s="14" t="n">
        <v>46218</v>
      </c>
      <c r="K46" s="6" t="n">
        <v>1736</v>
      </c>
      <c r="L46" s="7" t="n">
        <v>79.06999999999999</v>
      </c>
      <c r="M46" s="7">
        <f>ROUND(0.13*L46*K46,2)</f>
        <v/>
      </c>
      <c r="N46" s="7">
        <f>ROUND(L46*K46+M46,2)</f>
        <v/>
      </c>
      <c r="O46" s="8" t="n">
        <v>89.39</v>
      </c>
      <c r="P46" s="7">
        <f>ROUND(0.13*(K46*O46+Q46),2)</f>
        <v/>
      </c>
      <c r="Q46" s="8" t="n">
        <v>826.85</v>
      </c>
      <c r="R46" s="7">
        <f>ROUND(O46*K46+P46+Q46,2)</f>
        <v/>
      </c>
      <c r="S46" s="9" t="inlineStr">
        <is>
          <t>1L8006</t>
        </is>
      </c>
      <c r="T46" s="9" t="inlineStr">
        <is>
          <t>丹东新龙太</t>
        </is>
      </c>
      <c r="U46" s="10" t="inlineStr"/>
      <c r="V46" s="10" t="inlineStr">
        <is>
          <t>Kelly</t>
        </is>
      </c>
      <c r="W46" s="10" t="inlineStr">
        <is>
          <t>Yinhao</t>
        </is>
      </c>
    </row>
    <row r="47" ht="20" customHeight="1">
      <c r="A47" s="3" t="inlineStr">
        <is>
          <t>RC ASOS D4 Pack</t>
        </is>
      </c>
      <c r="B47" s="3" t="inlineStr">
        <is>
          <t>FW26</t>
        </is>
      </c>
      <c r="C47" s="4" t="inlineStr">
        <is>
          <t>RC2620OW007</t>
        </is>
      </c>
      <c r="D47" s="4" t="inlineStr">
        <is>
          <t>LG4328</t>
        </is>
      </c>
      <c r="E47" s="3" t="inlineStr">
        <is>
          <t>女式针织上衣</t>
        </is>
      </c>
      <c r="F47" s="4" t="inlineStr">
        <is>
          <t>0902599902</t>
        </is>
      </c>
      <c r="G47" s="4" t="inlineStr">
        <is>
          <t>0307082726</t>
        </is>
      </c>
      <c r="H47" s="4" t="inlineStr">
        <is>
          <t>825054</t>
        </is>
      </c>
      <c r="I47" s="4" t="inlineStr">
        <is>
          <t>TTTS 天纺标</t>
        </is>
      </c>
      <c r="J47" s="14" t="n">
        <v>46209</v>
      </c>
      <c r="K47" s="6" t="n">
        <v>2</v>
      </c>
      <c r="L47" s="7" t="n">
        <v>79.06999999999999</v>
      </c>
      <c r="M47" s="7">
        <f>ROUND(0.13*L47*K47,2)</f>
        <v/>
      </c>
      <c r="N47" s="7">
        <f>ROUND(L47*K47+M47,2)</f>
        <v/>
      </c>
      <c r="O47" s="8" t="n">
        <v>89.39</v>
      </c>
      <c r="P47" s="7">
        <f>ROUND(0.13*(K47*O47+Q47),2)</f>
        <v/>
      </c>
      <c r="Q47" s="8" t="n">
        <v>0.95</v>
      </c>
      <c r="R47" s="7">
        <f>ROUND(O47*K47+P47+Q47,2)</f>
        <v/>
      </c>
      <c r="S47" s="9" t="inlineStr">
        <is>
          <t>1L8006</t>
        </is>
      </c>
      <c r="T47" s="9" t="inlineStr">
        <is>
          <t>丹东新龙太</t>
        </is>
      </c>
      <c r="U47" s="10" t="inlineStr"/>
      <c r="V47" s="10" t="inlineStr">
        <is>
          <t>Kelly</t>
        </is>
      </c>
      <c r="W47" s="10" t="inlineStr">
        <is>
          <t>Yinhao</t>
        </is>
      </c>
    </row>
    <row r="48" ht="20" customHeight="1">
      <c r="A48" s="3" t="inlineStr">
        <is>
          <t>RC ASOS D4 Pack</t>
        </is>
      </c>
      <c r="B48" s="3" t="inlineStr">
        <is>
          <t>FW26</t>
        </is>
      </c>
      <c r="C48" s="4" t="inlineStr">
        <is>
          <t>RC2620OW009</t>
        </is>
      </c>
      <c r="D48" s="4" t="inlineStr">
        <is>
          <t>LG4318</t>
        </is>
      </c>
      <c r="E48" s="3" t="inlineStr">
        <is>
          <t>女式针织长裤</t>
        </is>
      </c>
      <c r="F48" s="4" t="inlineStr">
        <is>
          <t>0902599858</t>
        </is>
      </c>
      <c r="G48" s="4" t="inlineStr">
        <is>
          <t>0307082796</t>
        </is>
      </c>
      <c r="H48" s="4" t="inlineStr">
        <is>
          <t>825056</t>
        </is>
      </c>
      <c r="I48" s="4" t="inlineStr">
        <is>
          <t>苏州仓</t>
        </is>
      </c>
      <c r="J48" s="14" t="n">
        <v>46229</v>
      </c>
      <c r="K48" s="6" t="n">
        <v>1398</v>
      </c>
      <c r="L48" s="7" t="n">
        <v>95.73999999999999</v>
      </c>
      <c r="M48" s="7">
        <f>ROUND(0.13*L48*K48,2)</f>
        <v/>
      </c>
      <c r="N48" s="7">
        <f>ROUND(L48*K48+M48,2)</f>
        <v/>
      </c>
      <c r="O48" s="8" t="n">
        <v>106.5</v>
      </c>
      <c r="P48" s="7">
        <f>ROUND(0.13*(K48*O48+Q48),2)</f>
        <v/>
      </c>
      <c r="Q48" s="8" t="n">
        <v>655.73</v>
      </c>
      <c r="R48" s="7">
        <f>ROUND(O48*K48+P48+Q48,2)</f>
        <v/>
      </c>
      <c r="S48" s="9" t="inlineStr">
        <is>
          <t>1L8006</t>
        </is>
      </c>
      <c r="T48" s="9" t="inlineStr">
        <is>
          <t>丹东新龙太</t>
        </is>
      </c>
      <c r="U48" s="10" t="inlineStr"/>
      <c r="V48" s="10" t="inlineStr">
        <is>
          <t>Kelly</t>
        </is>
      </c>
      <c r="W48" s="10" t="inlineStr">
        <is>
          <t>Yinhao</t>
        </is>
      </c>
    </row>
    <row r="49" ht="20" customHeight="1">
      <c r="A49" s="3" t="inlineStr">
        <is>
          <t>RC ASOS D4 Pack</t>
        </is>
      </c>
      <c r="B49" s="3" t="inlineStr">
        <is>
          <t>FW26</t>
        </is>
      </c>
      <c r="C49" s="4" t="inlineStr">
        <is>
          <t>RC2620OW009</t>
        </is>
      </c>
      <c r="D49" s="4" t="inlineStr">
        <is>
          <t>LG4318</t>
        </is>
      </c>
      <c r="E49" s="3" t="inlineStr">
        <is>
          <t>女式针织长裤</t>
        </is>
      </c>
      <c r="F49" s="4" t="inlineStr">
        <is>
          <t>0902599869</t>
        </is>
      </c>
      <c r="G49" s="4" t="inlineStr">
        <is>
          <t>0307079956</t>
        </is>
      </c>
      <c r="H49" s="4" t="inlineStr">
        <is>
          <t>825057</t>
        </is>
      </c>
      <c r="I49" s="4" t="inlineStr">
        <is>
          <t>天津仓</t>
        </is>
      </c>
      <c r="J49" s="14" t="n">
        <v>46225</v>
      </c>
      <c r="K49" s="6" t="n">
        <v>803</v>
      </c>
      <c r="L49" s="7" t="n">
        <v>95.73999999999999</v>
      </c>
      <c r="M49" s="7">
        <f>ROUND(0.13*L49*K49,2)</f>
        <v/>
      </c>
      <c r="N49" s="7">
        <f>ROUND(L49*K49+M49,2)</f>
        <v/>
      </c>
      <c r="O49" s="8" t="n">
        <v>106.5</v>
      </c>
      <c r="P49" s="7">
        <f>ROUND(0.13*(K49*O49+Q49),2)</f>
        <v/>
      </c>
      <c r="Q49" s="8" t="n">
        <v>376.65</v>
      </c>
      <c r="R49" s="7">
        <f>ROUND(O49*K49+P49+Q49,2)</f>
        <v/>
      </c>
      <c r="S49" s="9" t="inlineStr">
        <is>
          <t>1L8006</t>
        </is>
      </c>
      <c r="T49" s="9" t="inlineStr">
        <is>
          <t>丹东新龙太</t>
        </is>
      </c>
      <c r="U49" s="10" t="inlineStr"/>
      <c r="V49" s="10" t="inlineStr">
        <is>
          <t>Kelly</t>
        </is>
      </c>
      <c r="W49" s="10" t="inlineStr">
        <is>
          <t>Yinhao</t>
        </is>
      </c>
    </row>
    <row r="50" ht="20" customHeight="1">
      <c r="A50" s="3" t="inlineStr">
        <is>
          <t>RC ASOS D4 Pack</t>
        </is>
      </c>
      <c r="B50" s="3" t="inlineStr">
        <is>
          <t>FW26</t>
        </is>
      </c>
      <c r="C50" s="4" t="inlineStr">
        <is>
          <t>RC2620OW009</t>
        </is>
      </c>
      <c r="D50" s="4" t="inlineStr">
        <is>
          <t>LG4318</t>
        </is>
      </c>
      <c r="E50" s="3" t="inlineStr">
        <is>
          <t>女式针织长裤</t>
        </is>
      </c>
      <c r="F50" s="4" t="inlineStr">
        <is>
          <t>0902599870</t>
        </is>
      </c>
      <c r="G50" s="4" t="inlineStr">
        <is>
          <t>0307082722</t>
        </is>
      </c>
      <c r="H50" s="4" t="inlineStr">
        <is>
          <t>825066</t>
        </is>
      </c>
      <c r="I50" s="4" t="inlineStr">
        <is>
          <t>苏州仓</t>
        </is>
      </c>
      <c r="J50" s="14" t="n">
        <v>46218</v>
      </c>
      <c r="K50" s="6" t="n">
        <v>836</v>
      </c>
      <c r="L50" s="7" t="n">
        <v>95.73999999999999</v>
      </c>
      <c r="M50" s="7">
        <f>ROUND(0.13*L50*K50,2)</f>
        <v/>
      </c>
      <c r="N50" s="7">
        <f>ROUND(L50*K50+M50,2)</f>
        <v/>
      </c>
      <c r="O50" s="8" t="n">
        <v>106.02</v>
      </c>
      <c r="P50" s="7">
        <f>ROUND(0.13*(K50*O50+Q50),2)</f>
        <v/>
      </c>
      <c r="Q50" s="8" t="n">
        <v>398.18</v>
      </c>
      <c r="R50" s="7">
        <f>ROUND(O50*K50+P50+Q50,2)</f>
        <v/>
      </c>
      <c r="S50" s="9" t="inlineStr">
        <is>
          <t>1L8006</t>
        </is>
      </c>
      <c r="T50" s="9" t="inlineStr">
        <is>
          <t>丹东新龙太</t>
        </is>
      </c>
      <c r="U50" s="10" t="inlineStr"/>
      <c r="V50" s="10" t="inlineStr">
        <is>
          <t>Kelly</t>
        </is>
      </c>
      <c r="W50" s="10" t="inlineStr">
        <is>
          <t>Yinhao</t>
        </is>
      </c>
    </row>
    <row r="51" ht="20" customHeight="1">
      <c r="A51" s="3" t="inlineStr">
        <is>
          <t>RC ASOS D4 Pack</t>
        </is>
      </c>
      <c r="B51" s="3" t="inlineStr">
        <is>
          <t>FW26</t>
        </is>
      </c>
      <c r="C51" s="4" t="inlineStr">
        <is>
          <t>RC2620OW009</t>
        </is>
      </c>
      <c r="D51" s="4" t="inlineStr">
        <is>
          <t>LG4318</t>
        </is>
      </c>
      <c r="E51" s="3" t="inlineStr">
        <is>
          <t>女式针织长裤</t>
        </is>
      </c>
      <c r="F51" s="4" t="inlineStr">
        <is>
          <t>0902599910</t>
        </is>
      </c>
      <c r="G51" s="4" t="inlineStr">
        <is>
          <t>0307082738</t>
        </is>
      </c>
      <c r="H51" s="4" t="inlineStr">
        <is>
          <t>825054</t>
        </is>
      </c>
      <c r="I51" s="4" t="inlineStr">
        <is>
          <t>TTTS 天纺标</t>
        </is>
      </c>
      <c r="J51" s="14" t="n">
        <v>46209</v>
      </c>
      <c r="K51" s="6" t="n">
        <v>2</v>
      </c>
      <c r="L51" s="7" t="n">
        <v>95.73999999999999</v>
      </c>
      <c r="M51" s="7">
        <f>ROUND(0.13*L51*K51,2)</f>
        <v/>
      </c>
      <c r="N51" s="7">
        <f>ROUND(L51*K51+M51,2)</f>
        <v/>
      </c>
      <c r="O51" s="8" t="n">
        <v>106.02</v>
      </c>
      <c r="P51" s="7">
        <f>ROUND(0.13*(K51*O51+Q51),2)</f>
        <v/>
      </c>
      <c r="Q51" s="8" t="n">
        <v>0.95</v>
      </c>
      <c r="R51" s="7">
        <f>ROUND(O51*K51+P51+Q51,2)</f>
        <v/>
      </c>
      <c r="S51" s="9" t="inlineStr">
        <is>
          <t>1L8006</t>
        </is>
      </c>
      <c r="T51" s="9" t="inlineStr">
        <is>
          <t>丹东新龙太</t>
        </is>
      </c>
      <c r="U51" s="10" t="inlineStr"/>
      <c r="V51" s="10" t="inlineStr">
        <is>
          <t>Kelly</t>
        </is>
      </c>
      <c r="W51" s="10" t="inlineStr">
        <is>
          <t>Yinhao</t>
        </is>
      </c>
    </row>
    <row r="52" ht="20" customHeight="1">
      <c r="A52" s="3" t="inlineStr">
        <is>
          <t>RC ASOS D4 Pack</t>
        </is>
      </c>
      <c r="B52" s="3" t="inlineStr">
        <is>
          <t>FW26</t>
        </is>
      </c>
      <c r="C52" s="4" t="inlineStr">
        <is>
          <t>RC2620OW009</t>
        </is>
      </c>
      <c r="D52" s="4" t="inlineStr">
        <is>
          <t>LG4320</t>
        </is>
      </c>
      <c r="E52" s="3" t="inlineStr">
        <is>
          <t>女式针织长裤</t>
        </is>
      </c>
      <c r="F52" s="4" t="inlineStr">
        <is>
          <t>0902599850</t>
        </is>
      </c>
      <c r="G52" s="4" t="inlineStr">
        <is>
          <t>0307082586</t>
        </is>
      </c>
      <c r="H52" s="4" t="inlineStr">
        <is>
          <t>825056</t>
        </is>
      </c>
      <c r="I52" s="4" t="inlineStr">
        <is>
          <t>苏州仓</t>
        </is>
      </c>
      <c r="J52" s="14" t="n">
        <v>46218</v>
      </c>
      <c r="K52" s="6" t="n">
        <v>3892</v>
      </c>
      <c r="L52" s="7" t="n">
        <v>95.73999999999999</v>
      </c>
      <c r="M52" s="7">
        <f>ROUND(0.13*L52*K52,2)</f>
        <v/>
      </c>
      <c r="N52" s="7">
        <f>ROUND(L52*K52+M52,2)</f>
        <v/>
      </c>
      <c r="O52" s="8" t="n">
        <v>106.02</v>
      </c>
      <c r="P52" s="7">
        <f>ROUND(0.13*(K52*O52+Q52),2)</f>
        <v/>
      </c>
      <c r="Q52" s="8" t="n">
        <v>1853.72</v>
      </c>
      <c r="R52" s="7">
        <f>ROUND(O52*K52+P52+Q52,2)</f>
        <v/>
      </c>
      <c r="S52" s="9" t="inlineStr">
        <is>
          <t>1L8006</t>
        </is>
      </c>
      <c r="T52" s="9" t="inlineStr">
        <is>
          <t>丹东新龙太</t>
        </is>
      </c>
      <c r="U52" s="10" t="inlineStr"/>
      <c r="V52" s="10" t="inlineStr">
        <is>
          <t>Kelly</t>
        </is>
      </c>
      <c r="W52" s="10" t="inlineStr">
        <is>
          <t>Yinhao</t>
        </is>
      </c>
    </row>
    <row r="53" ht="20" customHeight="1">
      <c r="A53" s="3" t="inlineStr">
        <is>
          <t>RC ASOS D4 Pack</t>
        </is>
      </c>
      <c r="B53" s="3" t="inlineStr">
        <is>
          <t>FW26</t>
        </is>
      </c>
      <c r="C53" s="4" t="inlineStr">
        <is>
          <t>RC2620OW009</t>
        </is>
      </c>
      <c r="D53" s="4" t="inlineStr">
        <is>
          <t>LG4320</t>
        </is>
      </c>
      <c r="E53" s="3" t="inlineStr">
        <is>
          <t>女式针织长裤</t>
        </is>
      </c>
      <c r="F53" s="4" t="inlineStr">
        <is>
          <t>0902599857</t>
        </is>
      </c>
      <c r="G53" s="4" t="inlineStr">
        <is>
          <t>0307082651</t>
        </is>
      </c>
      <c r="H53" s="4" t="inlineStr">
        <is>
          <t>825066</t>
        </is>
      </c>
      <c r="I53" s="4" t="inlineStr">
        <is>
          <t>苏州仓</t>
        </is>
      </c>
      <c r="J53" s="14" t="n">
        <v>46233</v>
      </c>
      <c r="K53" s="6" t="n">
        <v>1636</v>
      </c>
      <c r="L53" s="7" t="n">
        <v>95.73999999999999</v>
      </c>
      <c r="M53" s="7">
        <f>ROUND(0.13*L53*K53,2)</f>
        <v/>
      </c>
      <c r="N53" s="7">
        <f>ROUND(L53*K53+M53,2)</f>
        <v/>
      </c>
      <c r="O53" s="8" t="n">
        <v>106.5</v>
      </c>
      <c r="P53" s="7">
        <f>ROUND(0.13*(K53*O53+Q53),2)</f>
        <v/>
      </c>
      <c r="Q53" s="8" t="n">
        <v>767.37</v>
      </c>
      <c r="R53" s="7">
        <f>ROUND(O53*K53+P53+Q53,2)</f>
        <v/>
      </c>
      <c r="S53" s="9" t="inlineStr">
        <is>
          <t>1L8006</t>
        </is>
      </c>
      <c r="T53" s="9" t="inlineStr">
        <is>
          <t>丹东新龙太</t>
        </is>
      </c>
      <c r="U53" s="10" t="inlineStr"/>
      <c r="V53" s="10" t="inlineStr">
        <is>
          <t>Kelly</t>
        </is>
      </c>
      <c r="W53" s="10" t="inlineStr">
        <is>
          <t>Yinhao</t>
        </is>
      </c>
    </row>
    <row r="54" ht="20" customHeight="1">
      <c r="A54" s="3" t="inlineStr">
        <is>
          <t>RC ASOS D4 Pack</t>
        </is>
      </c>
      <c r="B54" s="3" t="inlineStr">
        <is>
          <t>FW26</t>
        </is>
      </c>
      <c r="C54" s="4" t="inlineStr">
        <is>
          <t>RC2620OW009</t>
        </is>
      </c>
      <c r="D54" s="4" t="inlineStr">
        <is>
          <t>LG4320</t>
        </is>
      </c>
      <c r="E54" s="3" t="inlineStr">
        <is>
          <t>女式针织长裤</t>
        </is>
      </c>
      <c r="F54" s="4" t="inlineStr">
        <is>
          <t>0902599917</t>
        </is>
      </c>
      <c r="G54" s="4" t="inlineStr">
        <is>
          <t>0307082741</t>
        </is>
      </c>
      <c r="H54" s="4" t="inlineStr">
        <is>
          <t>825054</t>
        </is>
      </c>
      <c r="I54" s="4" t="inlineStr">
        <is>
          <t>TTTS 天纺标</t>
        </is>
      </c>
      <c r="J54" s="14" t="n">
        <v>46209</v>
      </c>
      <c r="K54" s="6" t="n">
        <v>2</v>
      </c>
      <c r="L54" s="7" t="n">
        <v>95.73999999999999</v>
      </c>
      <c r="M54" s="7">
        <f>ROUND(0.13*L54*K54,2)</f>
        <v/>
      </c>
      <c r="N54" s="7">
        <f>ROUND(L54*K54+M54,2)</f>
        <v/>
      </c>
      <c r="O54" s="8" t="n">
        <v>106.02</v>
      </c>
      <c r="P54" s="7">
        <f>ROUND(0.13*(K54*O54+Q54),2)</f>
        <v/>
      </c>
      <c r="Q54" s="8" t="n">
        <v>0.95</v>
      </c>
      <c r="R54" s="7">
        <f>ROUND(O54*K54+P54+Q54,2)</f>
        <v/>
      </c>
      <c r="S54" s="9" t="inlineStr">
        <is>
          <t>1L8006</t>
        </is>
      </c>
      <c r="T54" s="9" t="inlineStr">
        <is>
          <t>丹东新龙太</t>
        </is>
      </c>
      <c r="U54" s="10" t="inlineStr"/>
      <c r="V54" s="10" t="inlineStr">
        <is>
          <t>Kelly</t>
        </is>
      </c>
      <c r="W54" s="10" t="inlineStr">
        <is>
          <t>Yinhao</t>
        </is>
      </c>
    </row>
    <row r="55" ht="20" customHeight="1">
      <c r="A55" s="3" t="inlineStr">
        <is>
          <t>RC ASOS D4 Pack</t>
        </is>
      </c>
      <c r="B55" s="3" t="inlineStr">
        <is>
          <t>FW26</t>
        </is>
      </c>
      <c r="C55" s="4" t="inlineStr">
        <is>
          <t>RC2620OW011</t>
        </is>
      </c>
      <c r="D55" s="4" t="inlineStr">
        <is>
          <t>LG4308</t>
        </is>
      </c>
      <c r="E55" s="3" t="inlineStr">
        <is>
          <t>女式针织上衣</t>
        </is>
      </c>
      <c r="F55" s="4" t="inlineStr">
        <is>
          <t>0902599865</t>
        </is>
      </c>
      <c r="G55" s="4" t="inlineStr">
        <is>
          <t>0307082647</t>
        </is>
      </c>
      <c r="H55" s="4" t="inlineStr">
        <is>
          <t>825066</t>
        </is>
      </c>
      <c r="I55" s="4" t="inlineStr">
        <is>
          <t>苏州仓</t>
        </is>
      </c>
      <c r="J55" s="14" t="n">
        <v>46228</v>
      </c>
      <c r="K55" s="6" t="n">
        <v>3116</v>
      </c>
      <c r="L55" s="7" t="n">
        <v>81.56</v>
      </c>
      <c r="M55" s="7">
        <f>ROUND(0.13*L55*K55,2)</f>
        <v/>
      </c>
      <c r="N55" s="7">
        <f>ROUND(L55*K55+M55,2)</f>
        <v/>
      </c>
      <c r="O55" s="8" t="n">
        <v>92.31999999999999</v>
      </c>
      <c r="P55" s="7">
        <f>ROUND(0.13*(K55*O55+Q55),2)</f>
        <v/>
      </c>
      <c r="Q55" s="8" t="n">
        <v>1461.57</v>
      </c>
      <c r="R55" s="7">
        <f>ROUND(O55*K55+P55+Q55,2)</f>
        <v/>
      </c>
      <c r="S55" s="9" t="inlineStr">
        <is>
          <t>1L8006</t>
        </is>
      </c>
      <c r="T55" s="9" t="inlineStr">
        <is>
          <t>丹东新龙太</t>
        </is>
      </c>
      <c r="U55" s="10" t="inlineStr"/>
      <c r="V55" s="10" t="inlineStr">
        <is>
          <t>Kelly</t>
        </is>
      </c>
      <c r="W55" s="10" t="inlineStr">
        <is>
          <t>Yinhao</t>
        </is>
      </c>
    </row>
    <row r="56" ht="20" customHeight="1">
      <c r="A56" s="3" t="inlineStr">
        <is>
          <t>RC ASOS D4 Pack</t>
        </is>
      </c>
      <c r="B56" s="3" t="inlineStr">
        <is>
          <t>FW26</t>
        </is>
      </c>
      <c r="C56" s="4" t="inlineStr">
        <is>
          <t>RC2620OW011</t>
        </is>
      </c>
      <c r="D56" s="4" t="inlineStr">
        <is>
          <t>LG4308</t>
        </is>
      </c>
      <c r="E56" s="3" t="inlineStr">
        <is>
          <t>女式针织上衣</t>
        </is>
      </c>
      <c r="F56" s="4" t="inlineStr">
        <is>
          <t>0902599915</t>
        </is>
      </c>
      <c r="G56" s="4" t="inlineStr">
        <is>
          <t>0307082752</t>
        </is>
      </c>
      <c r="H56" s="4" t="inlineStr">
        <is>
          <t>825054</t>
        </is>
      </c>
      <c r="I56" s="4" t="inlineStr">
        <is>
          <t>TTTS 天纺标</t>
        </is>
      </c>
      <c r="J56" s="14" t="n">
        <v>46209</v>
      </c>
      <c r="K56" s="6" t="n">
        <v>2</v>
      </c>
      <c r="L56" s="7" t="n">
        <v>81.56</v>
      </c>
      <c r="M56" s="7">
        <f>ROUND(0.13*L56*K56,2)</f>
        <v/>
      </c>
      <c r="N56" s="7">
        <f>ROUND(L56*K56+M56,2)</f>
        <v/>
      </c>
      <c r="O56" s="8" t="n">
        <v>91.84</v>
      </c>
      <c r="P56" s="7">
        <f>ROUND(0.13*(K56*O56+Q56),2)</f>
        <v/>
      </c>
      <c r="Q56" s="8" t="n">
        <v>0.95</v>
      </c>
      <c r="R56" s="7">
        <f>ROUND(O56*K56+P56+Q56,2)</f>
        <v/>
      </c>
      <c r="S56" s="9" t="inlineStr">
        <is>
          <t>1L8006</t>
        </is>
      </c>
      <c r="T56" s="9" t="inlineStr">
        <is>
          <t>丹东新龙太</t>
        </is>
      </c>
      <c r="U56" s="10" t="inlineStr"/>
      <c r="V56" s="10" t="inlineStr">
        <is>
          <t>Kelly</t>
        </is>
      </c>
      <c r="W56" s="10" t="inlineStr">
        <is>
          <t>Yinhao</t>
        </is>
      </c>
    </row>
    <row r="57" ht="20" customHeight="1">
      <c r="A57" s="3" t="inlineStr">
        <is>
          <t>RC ASOS D4 Pack</t>
        </is>
      </c>
      <c r="B57" s="3" t="inlineStr">
        <is>
          <t>FW26</t>
        </is>
      </c>
      <c r="C57" s="4" t="inlineStr">
        <is>
          <t>RC2620OW011</t>
        </is>
      </c>
      <c r="D57" s="4" t="inlineStr">
        <is>
          <t>LG4309</t>
        </is>
      </c>
      <c r="E57" s="3" t="inlineStr">
        <is>
          <t>女式针织上衣</t>
        </is>
      </c>
      <c r="F57" s="4" t="inlineStr">
        <is>
          <t>0902599856</t>
        </is>
      </c>
      <c r="G57" s="4" t="inlineStr">
        <is>
          <t>0307082648</t>
        </is>
      </c>
      <c r="H57" s="4" t="inlineStr">
        <is>
          <t>825066</t>
        </is>
      </c>
      <c r="I57" s="4" t="inlineStr">
        <is>
          <t>苏州仓</t>
        </is>
      </c>
      <c r="J57" s="14" t="n">
        <v>46228</v>
      </c>
      <c r="K57" s="6" t="n">
        <v>1500</v>
      </c>
      <c r="L57" s="7" t="n">
        <v>81.56</v>
      </c>
      <c r="M57" s="7">
        <f>ROUND(0.13*L57*K57,2)</f>
        <v/>
      </c>
      <c r="N57" s="7">
        <f>ROUND(L57*K57+M57,2)</f>
        <v/>
      </c>
      <c r="O57" s="8" t="n">
        <v>92.31999999999999</v>
      </c>
      <c r="P57" s="7">
        <f>ROUND(0.13*(K57*O57+Q57),2)</f>
        <v/>
      </c>
      <c r="Q57" s="8" t="n">
        <v>703.58</v>
      </c>
      <c r="R57" s="7">
        <f>ROUND(O57*K57+P57+Q57,2)</f>
        <v/>
      </c>
      <c r="S57" s="9" t="inlineStr">
        <is>
          <t>1L8006</t>
        </is>
      </c>
      <c r="T57" s="9" t="inlineStr">
        <is>
          <t>丹东新龙太</t>
        </is>
      </c>
      <c r="U57" s="10" t="inlineStr"/>
      <c r="V57" s="10" t="inlineStr">
        <is>
          <t>Kelly</t>
        </is>
      </c>
      <c r="W57" s="10" t="inlineStr">
        <is>
          <t>Yinhao</t>
        </is>
      </c>
    </row>
    <row r="58" ht="20" customHeight="1">
      <c r="A58" s="3" t="inlineStr">
        <is>
          <t>RC ASOS D4 Pack</t>
        </is>
      </c>
      <c r="B58" s="3" t="inlineStr">
        <is>
          <t>FW26</t>
        </is>
      </c>
      <c r="C58" s="4" t="inlineStr">
        <is>
          <t>RC2620OW011</t>
        </is>
      </c>
      <c r="D58" s="4" t="inlineStr">
        <is>
          <t>LG4309</t>
        </is>
      </c>
      <c r="E58" s="3" t="inlineStr">
        <is>
          <t>女式针织上衣</t>
        </is>
      </c>
      <c r="F58" s="4" t="inlineStr">
        <is>
          <t>0902599920</t>
        </is>
      </c>
      <c r="G58" s="4" t="inlineStr">
        <is>
          <t>0307082753</t>
        </is>
      </c>
      <c r="H58" s="4" t="inlineStr">
        <is>
          <t>825054</t>
        </is>
      </c>
      <c r="I58" s="4" t="inlineStr">
        <is>
          <t>TTTS 天纺标</t>
        </is>
      </c>
      <c r="J58" s="14" t="n">
        <v>46209</v>
      </c>
      <c r="K58" s="6" t="n">
        <v>2</v>
      </c>
      <c r="L58" s="7" t="n">
        <v>81.56</v>
      </c>
      <c r="M58" s="7">
        <f>ROUND(0.13*L58*K58,2)</f>
        <v/>
      </c>
      <c r="N58" s="7">
        <f>ROUND(L58*K58+M58,2)</f>
        <v/>
      </c>
      <c r="O58" s="8" t="n">
        <v>91.84</v>
      </c>
      <c r="P58" s="7">
        <f>ROUND(0.13*(K58*O58+Q58),2)</f>
        <v/>
      </c>
      <c r="Q58" s="8" t="n">
        <v>0.95</v>
      </c>
      <c r="R58" s="7">
        <f>ROUND(O58*K58+P58+Q58,2)</f>
        <v/>
      </c>
      <c r="S58" s="9" t="inlineStr">
        <is>
          <t>1L8006</t>
        </is>
      </c>
      <c r="T58" s="9" t="inlineStr">
        <is>
          <t>丹东新龙太</t>
        </is>
      </c>
      <c r="U58" s="10" t="inlineStr"/>
      <c r="V58" s="10" t="inlineStr">
        <is>
          <t>Kelly</t>
        </is>
      </c>
      <c r="W58" s="10" t="inlineStr">
        <is>
          <t>Yinhao</t>
        </is>
      </c>
    </row>
    <row r="59" ht="20" customHeight="1">
      <c r="A59" s="3" t="inlineStr">
        <is>
          <t>RC ASOS D4 Pack</t>
        </is>
      </c>
      <c r="B59" s="3" t="inlineStr">
        <is>
          <t>FW26</t>
        </is>
      </c>
      <c r="C59" s="4" t="inlineStr">
        <is>
          <t>RC2620OW016</t>
        </is>
      </c>
      <c r="D59" s="4" t="inlineStr">
        <is>
          <t>LG4281</t>
        </is>
      </c>
      <c r="E59" s="3" t="inlineStr">
        <is>
          <t>女式梭织长裤</t>
        </is>
      </c>
      <c r="F59" s="4" t="inlineStr">
        <is>
          <t>0902599848</t>
        </is>
      </c>
      <c r="G59" s="4" t="inlineStr">
        <is>
          <t>0307082645</t>
        </is>
      </c>
      <c r="H59" s="4" t="inlineStr">
        <is>
          <t>825066</t>
        </is>
      </c>
      <c r="I59" s="4" t="inlineStr">
        <is>
          <t>苏州仓</t>
        </is>
      </c>
      <c r="J59" s="14" t="n">
        <v>46234</v>
      </c>
      <c r="K59" s="6" t="n">
        <v>1279</v>
      </c>
      <c r="L59" s="7" t="n">
        <v>112.05</v>
      </c>
      <c r="M59" s="7">
        <f>ROUND(0.13*L59*K59,2)</f>
        <v/>
      </c>
      <c r="N59" s="7">
        <f>ROUND(L59*K59+M59,2)</f>
        <v/>
      </c>
      <c r="O59" s="8" t="n">
        <v>124.23</v>
      </c>
      <c r="P59" s="7">
        <f>ROUND(0.13*(K59*O59+Q59),2)</f>
        <v/>
      </c>
      <c r="Q59" s="8" t="n">
        <v>599.91</v>
      </c>
      <c r="R59" s="7">
        <f>ROUND(O59*K59+P59+Q59,2)</f>
        <v/>
      </c>
      <c r="S59" s="9" t="inlineStr">
        <is>
          <t>1L8006</t>
        </is>
      </c>
      <c r="T59" s="9" t="inlineStr">
        <is>
          <t>丹东新龙太</t>
        </is>
      </c>
      <c r="U59" s="10" t="inlineStr"/>
      <c r="V59" s="10" t="inlineStr">
        <is>
          <t>Kelly</t>
        </is>
      </c>
      <c r="W59" s="10" t="inlineStr">
        <is>
          <t>Yinhao</t>
        </is>
      </c>
    </row>
    <row r="60" ht="20" customHeight="1">
      <c r="A60" s="3" t="inlineStr">
        <is>
          <t>RC ASOS D4 Pack</t>
        </is>
      </c>
      <c r="B60" s="3" t="inlineStr">
        <is>
          <t>FW26</t>
        </is>
      </c>
      <c r="C60" s="4" t="inlineStr">
        <is>
          <t>RC2620OW016</t>
        </is>
      </c>
      <c r="D60" s="4" t="inlineStr">
        <is>
          <t>LG4281</t>
        </is>
      </c>
      <c r="E60" s="3" t="inlineStr">
        <is>
          <t>女式梭织长裤</t>
        </is>
      </c>
      <c r="F60" s="4" t="inlineStr">
        <is>
          <t>0902599914</t>
        </is>
      </c>
      <c r="G60" s="4" t="inlineStr">
        <is>
          <t>0307082751</t>
        </is>
      </c>
      <c r="H60" s="4" t="inlineStr">
        <is>
          <t>825054</t>
        </is>
      </c>
      <c r="I60" s="4" t="inlineStr">
        <is>
          <t>TTTS 天纺标</t>
        </is>
      </c>
      <c r="J60" s="14" t="n">
        <v>46209</v>
      </c>
      <c r="K60" s="6" t="n">
        <v>2</v>
      </c>
      <c r="L60" s="7" t="n">
        <v>112.05</v>
      </c>
      <c r="M60" s="7">
        <f>ROUND(0.13*L60*K60,2)</f>
        <v/>
      </c>
      <c r="N60" s="7">
        <f>ROUND(L60*K60+M60,2)</f>
        <v/>
      </c>
      <c r="O60" s="8" t="n">
        <v>123.75</v>
      </c>
      <c r="P60" s="7">
        <f>ROUND(0.13*(K60*O60+Q60),2)</f>
        <v/>
      </c>
      <c r="Q60" s="8" t="n">
        <v>0.95</v>
      </c>
      <c r="R60" s="7">
        <f>ROUND(O60*K60+P60+Q60,2)</f>
        <v/>
      </c>
      <c r="S60" s="9" t="inlineStr">
        <is>
          <t>1L8006</t>
        </is>
      </c>
      <c r="T60" s="9" t="inlineStr">
        <is>
          <t>丹东新龙太</t>
        </is>
      </c>
      <c r="U60" s="10" t="inlineStr"/>
      <c r="V60" s="10" t="inlineStr">
        <is>
          <t>Kelly</t>
        </is>
      </c>
      <c r="W60" s="10" t="inlineStr">
        <is>
          <t>Yinhao</t>
        </is>
      </c>
    </row>
    <row r="61" ht="20" customHeight="1">
      <c r="A61" s="3" t="inlineStr">
        <is>
          <t>RC ASOS D4 Pack</t>
        </is>
      </c>
      <c r="B61" s="3" t="inlineStr">
        <is>
          <t>FW26</t>
        </is>
      </c>
      <c r="C61" s="4" t="inlineStr">
        <is>
          <t>RC2620OW016</t>
        </is>
      </c>
      <c r="D61" s="4" t="inlineStr">
        <is>
          <t>LG4283</t>
        </is>
      </c>
      <c r="E61" s="3" t="inlineStr">
        <is>
          <t>女式梭织长裤</t>
        </is>
      </c>
      <c r="F61" s="4" t="inlineStr">
        <is>
          <t>0902599854</t>
        </is>
      </c>
      <c r="G61" s="4" t="inlineStr">
        <is>
          <t>0307082582</t>
        </is>
      </c>
      <c r="H61" s="4" t="inlineStr">
        <is>
          <t>825066</t>
        </is>
      </c>
      <c r="I61" s="4" t="inlineStr">
        <is>
          <t>苏州仓</t>
        </is>
      </c>
      <c r="J61" s="14" t="n">
        <v>46234</v>
      </c>
      <c r="K61" s="6" t="n">
        <v>3400</v>
      </c>
      <c r="L61" s="7" t="n">
        <v>112.05</v>
      </c>
      <c r="M61" s="7">
        <f>ROUND(0.13*L61*K61,2)</f>
        <v/>
      </c>
      <c r="N61" s="7">
        <f>ROUND(L61*K61+M61,2)</f>
        <v/>
      </c>
      <c r="O61" s="8" t="n">
        <v>124.23</v>
      </c>
      <c r="P61" s="7">
        <f>ROUND(0.13*(K61*O61+Q61),2)</f>
        <v/>
      </c>
      <c r="Q61" s="8" t="n">
        <v>1594.78</v>
      </c>
      <c r="R61" s="7">
        <f>ROUND(O61*K61+P61+Q61,2)</f>
        <v/>
      </c>
      <c r="S61" s="9" t="inlineStr">
        <is>
          <t>1L8006</t>
        </is>
      </c>
      <c r="T61" s="9" t="inlineStr">
        <is>
          <t>丹东新龙太</t>
        </is>
      </c>
      <c r="U61" s="10" t="inlineStr"/>
      <c r="V61" s="10" t="inlineStr">
        <is>
          <t>Kelly</t>
        </is>
      </c>
      <c r="W61" s="10" t="inlineStr">
        <is>
          <t>Yinhao</t>
        </is>
      </c>
    </row>
    <row r="62" ht="20" customHeight="1">
      <c r="A62" s="3" t="inlineStr">
        <is>
          <t>RC ASOS D4 Pack</t>
        </is>
      </c>
      <c r="B62" s="3" t="inlineStr">
        <is>
          <t>FW26</t>
        </is>
      </c>
      <c r="C62" s="4" t="inlineStr">
        <is>
          <t>RC2620OW016</t>
        </is>
      </c>
      <c r="D62" s="4" t="inlineStr">
        <is>
          <t>LG4283</t>
        </is>
      </c>
      <c r="E62" s="3" t="inlineStr">
        <is>
          <t>女式梭织长裤</t>
        </is>
      </c>
      <c r="F62" s="4" t="inlineStr">
        <is>
          <t>0902599904</t>
        </is>
      </c>
      <c r="G62" s="4" t="inlineStr">
        <is>
          <t>0307082736</t>
        </is>
      </c>
      <c r="H62" s="4" t="inlineStr">
        <is>
          <t>825054</t>
        </is>
      </c>
      <c r="I62" s="4" t="inlineStr">
        <is>
          <t>TTTS 天纺标</t>
        </is>
      </c>
      <c r="J62" s="14" t="n">
        <v>46209</v>
      </c>
      <c r="K62" s="6" t="n">
        <v>2</v>
      </c>
      <c r="L62" s="7" t="n">
        <v>112.05</v>
      </c>
      <c r="M62" s="7">
        <f>ROUND(0.13*L62*K62,2)</f>
        <v/>
      </c>
      <c r="N62" s="7">
        <f>ROUND(L62*K62+M62,2)</f>
        <v/>
      </c>
      <c r="O62" s="8" t="n">
        <v>123.75</v>
      </c>
      <c r="P62" s="7">
        <f>ROUND(0.13*(K62*O62+Q62),2)</f>
        <v/>
      </c>
      <c r="Q62" s="8" t="n">
        <v>0.95</v>
      </c>
      <c r="R62" s="7">
        <f>ROUND(O62*K62+P62+Q62,2)</f>
        <v/>
      </c>
      <c r="S62" s="9" t="inlineStr">
        <is>
          <t>1L8006</t>
        </is>
      </c>
      <c r="T62" s="9" t="inlineStr">
        <is>
          <t>丹东新龙太</t>
        </is>
      </c>
      <c r="U62" s="10" t="inlineStr"/>
      <c r="V62" s="10" t="inlineStr">
        <is>
          <t>Kelly</t>
        </is>
      </c>
      <c r="W62" s="10" t="inlineStr">
        <is>
          <t>Yinhao</t>
        </is>
      </c>
    </row>
    <row r="63" ht="20" customHeight="1">
      <c r="A63" s="11" t="inlineStr"/>
      <c r="B63" s="11" t="inlineStr"/>
      <c r="C63" s="11" t="inlineStr"/>
      <c r="D63" s="11" t="inlineStr"/>
      <c r="E63" s="11" t="inlineStr"/>
      <c r="F63" s="11">
        <f>COUNTA(F3:F62)</f>
        <v/>
      </c>
      <c r="G63" s="11" t="inlineStr"/>
      <c r="H63" s="11" t="inlineStr"/>
      <c r="I63" s="11" t="inlineStr"/>
      <c r="J63" s="11" t="inlineStr"/>
      <c r="K63" s="11">
        <f>SUM(K3:K62)</f>
        <v/>
      </c>
      <c r="L63" s="11" t="inlineStr">
        <is>
          <t xml:space="preserve"> </t>
        </is>
      </c>
      <c r="M63" s="11">
        <f>SUM(M3:M62)</f>
        <v/>
      </c>
      <c r="N63" s="11">
        <f>SUM(N3:N62)</f>
        <v/>
      </c>
      <c r="O63" s="11" t="inlineStr"/>
      <c r="P63" s="11">
        <f>SUM(P3:P62)</f>
        <v/>
      </c>
      <c r="Q63" s="11">
        <f>SUM(Q3:Q62)</f>
        <v/>
      </c>
      <c r="R63" s="11">
        <f>SUM(R3:R62)</f>
        <v/>
      </c>
      <c r="S63" s="11" t="inlineStr">
        <is>
          <t xml:space="preserve"> </t>
        </is>
      </c>
      <c r="T63" s="11" t="inlineStr">
        <is>
          <t xml:space="preserve"> </t>
        </is>
      </c>
      <c r="U63" s="11" t="inlineStr"/>
      <c r="V63" s="11" t="inlineStr"/>
      <c r="W63" s="11" t="inlineStr"/>
    </row>
  </sheetData>
  <autoFilter ref="A2:W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2" t="inlineStr">
        <is>
          <t>Assigned Factory</t>
        </is>
      </c>
      <c r="B1" s="12" t="inlineStr">
        <is>
          <t>Name</t>
        </is>
      </c>
    </row>
    <row r="2">
      <c r="A2" s="13" t="inlineStr">
        <is>
          <t>1L8006</t>
        </is>
      </c>
      <c r="B2" s="13" t="inlineStr">
        <is>
          <t>丹东新龙太</t>
        </is>
      </c>
    </row>
    <row r="3">
      <c r="A3" s="13" t="inlineStr">
        <is>
          <t>1L8012</t>
        </is>
      </c>
      <c r="B3" s="13" t="inlineStr">
        <is>
          <t>大连万代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2" t="inlineStr">
        <is>
          <t>Gps Customer Number</t>
        </is>
      </c>
      <c r="B1" s="12" t="inlineStr">
        <is>
          <t>Customer Warehouse</t>
        </is>
      </c>
    </row>
    <row r="2">
      <c r="A2" s="13" t="inlineStr">
        <is>
          <t>825066</t>
        </is>
      </c>
      <c r="B2" s="13" t="inlineStr">
        <is>
          <t>苏州仓</t>
        </is>
      </c>
    </row>
    <row r="3">
      <c r="A3" s="13" t="inlineStr">
        <is>
          <t>825057</t>
        </is>
      </c>
      <c r="B3" s="13" t="inlineStr">
        <is>
          <t>天津仓</t>
        </is>
      </c>
    </row>
    <row r="4">
      <c r="A4" s="13" t="inlineStr">
        <is>
          <t>825254</t>
        </is>
      </c>
      <c r="B4" s="13" t="inlineStr">
        <is>
          <t>TTTS 天纺标</t>
        </is>
      </c>
    </row>
    <row r="5">
      <c r="A5" s="13" t="inlineStr">
        <is>
          <t>825059</t>
        </is>
      </c>
      <c r="B5" s="13" t="inlineStr">
        <is>
          <t>MSO</t>
        </is>
      </c>
    </row>
    <row r="6">
      <c r="A6" s="13" t="inlineStr">
        <is>
          <t>825065</t>
        </is>
      </c>
      <c r="B6" s="13" t="inlineStr">
        <is>
          <t>江门仓</t>
        </is>
      </c>
    </row>
    <row r="7">
      <c r="A7" s="13" t="inlineStr">
        <is>
          <t>825067</t>
        </is>
      </c>
      <c r="B7" s="13" t="inlineStr">
        <is>
          <t>成都仓</t>
        </is>
      </c>
    </row>
    <row r="8">
      <c r="A8" s="13" t="inlineStr">
        <is>
          <t>825054</t>
        </is>
      </c>
      <c r="B8" s="13" t="inlineStr">
        <is>
          <t>TTTS 天纺标</t>
        </is>
      </c>
    </row>
    <row r="9">
      <c r="A9" s="13" t="inlineStr">
        <is>
          <t>825056</t>
        </is>
      </c>
      <c r="B9" s="13" t="inlineStr">
        <is>
          <t>苏州仓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2026-07-04T03:13:42Z</dcterms:created>
  <dcterms:modified xmlns:dcterms="http://purl.org/dc/terms/" xmlns:xsi="http://www.w3.org/2001/XMLSchema-instance" xsi:type="dcterms:W3CDTF">2026-07-04T03:15:45Z</dcterms:modified>
</cp:coreProperties>
</file>